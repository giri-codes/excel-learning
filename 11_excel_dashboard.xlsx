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13_ncr:1_{155A9CED-20C5-4D9E-84E1-BFC78AE2A474}" xr6:coauthVersionLast="47" xr6:coauthVersionMax="47" xr10:uidLastSave="{00000000-0000-0000-0000-000000000000}"/>
  <bookViews>
    <workbookView xWindow="-110" yWindow="-110" windowWidth="19420" windowHeight="10300" activeTab="2" xr2:uid="{3FDE7ED0-4BBC-4079-9123-EDDD63599BA3}"/>
  </bookViews>
  <sheets>
    <sheet name="Movie_Data" sheetId="2" r:id="rId1"/>
    <sheet name="Genre_Summary" sheetId="4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M7" i="3"/>
  <c r="M6" i="3"/>
  <c r="B3" i="4"/>
  <c r="B4" i="4"/>
  <c r="B5" i="4"/>
  <c r="B2" i="4"/>
</calcChain>
</file>

<file path=xl/sharedStrings.xml><?xml version="1.0" encoding="utf-8"?>
<sst xmlns="http://schemas.openxmlformats.org/spreadsheetml/2006/main" count="55" uniqueCount="36">
  <si>
    <t>Month</t>
  </si>
  <si>
    <t>Jan</t>
  </si>
  <si>
    <t>Feb</t>
  </si>
  <si>
    <t>Mar</t>
  </si>
  <si>
    <t>Apr</t>
  </si>
  <si>
    <t>May</t>
  </si>
  <si>
    <t>Jun</t>
  </si>
  <si>
    <t>Movie</t>
  </si>
  <si>
    <t>Genre</t>
  </si>
  <si>
    <t>BoxOffice_Cr</t>
  </si>
  <si>
    <t>Budget_Cr</t>
  </si>
  <si>
    <t>Rating</t>
  </si>
  <si>
    <t>Reviews</t>
  </si>
  <si>
    <t>Leo</t>
  </si>
  <si>
    <t>Action</t>
  </si>
  <si>
    <t>Jailer</t>
  </si>
  <si>
    <t>Kantara</t>
  </si>
  <si>
    <t>Drama</t>
  </si>
  <si>
    <t>Vikram</t>
  </si>
  <si>
    <t>Charlie 777</t>
  </si>
  <si>
    <t>RRR</t>
  </si>
  <si>
    <t>KGF 2</t>
  </si>
  <si>
    <t>Sita Ramam</t>
  </si>
  <si>
    <t>Romance</t>
  </si>
  <si>
    <t>Pushpa</t>
  </si>
  <si>
    <t>Ugramm</t>
  </si>
  <si>
    <t>Love Mocktail</t>
  </si>
  <si>
    <t>Lucia</t>
  </si>
  <si>
    <t>Thriller</t>
  </si>
  <si>
    <t>Total_BoxOffice</t>
  </si>
  <si>
    <t>KPI</t>
  </si>
  <si>
    <t>Value</t>
  </si>
  <si>
    <t>Total Revenue</t>
  </si>
  <si>
    <t>Average Rating</t>
  </si>
  <si>
    <t>Best Movie</t>
  </si>
  <si>
    <t>🎬 Movie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</si>
</sst>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“Box Office Collection by Movie</a:t>
            </a:r>
          </a:p>
          <a:p>
            <a:pPr>
              <a:defRPr/>
            </a:pPr>
            <a:r>
              <a:rPr lang="en-IN" sz="1800" b="1" i="0" u="none" strike="noStrike" baseline="0"/>
              <a:t> (₹ Crores)”</a:t>
            </a:r>
            <a:endParaRPr lang="en-IN"/>
          </a:p>
        </c:rich>
      </c:tx>
      <c:layout>
        <c:manualLayout>
          <c:xMode val="edge"/>
          <c:yMode val="edge"/>
          <c:x val="0.10940780656739152"/>
          <c:y val="4.5335707517888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Movie_Data!$D$1</c:f>
              <c:strCache>
                <c:ptCount val="1"/>
                <c:pt idx="0">
                  <c:v>BoxOffice_Cr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Movie_Data!$A$2:$A$13</c:f>
              <c:strCache>
                <c:ptCount val="12"/>
                <c:pt idx="0">
                  <c:v>Leo</c:v>
                </c:pt>
                <c:pt idx="1">
                  <c:v>Jailer</c:v>
                </c:pt>
                <c:pt idx="2">
                  <c:v>Kantara</c:v>
                </c:pt>
                <c:pt idx="3">
                  <c:v>Vikram</c:v>
                </c:pt>
                <c:pt idx="4">
                  <c:v>Charlie 777</c:v>
                </c:pt>
                <c:pt idx="5">
                  <c:v>RRR</c:v>
                </c:pt>
                <c:pt idx="6">
                  <c:v>KGF 2</c:v>
                </c:pt>
                <c:pt idx="7">
                  <c:v>Sita Ramam</c:v>
                </c:pt>
                <c:pt idx="8">
                  <c:v>Pushpa</c:v>
                </c:pt>
                <c:pt idx="9">
                  <c:v>Ugramm</c:v>
                </c:pt>
                <c:pt idx="10">
                  <c:v>Love Mocktail</c:v>
                </c:pt>
                <c:pt idx="11">
                  <c:v>Lucia</c:v>
                </c:pt>
              </c:strCache>
            </c:strRef>
          </c:cat>
          <c:val>
            <c:numRef>
              <c:f>Movie_Data!$D$2:$D$13</c:f>
              <c:numCache>
                <c:formatCode>General</c:formatCode>
                <c:ptCount val="12"/>
                <c:pt idx="0">
                  <c:v>620</c:v>
                </c:pt>
                <c:pt idx="1">
                  <c:v>540</c:v>
                </c:pt>
                <c:pt idx="2">
                  <c:v>410</c:v>
                </c:pt>
                <c:pt idx="3">
                  <c:v>580</c:v>
                </c:pt>
                <c:pt idx="4">
                  <c:v>320</c:v>
                </c:pt>
                <c:pt idx="5">
                  <c:v>780</c:v>
                </c:pt>
                <c:pt idx="6">
                  <c:v>860</c:v>
                </c:pt>
                <c:pt idx="7">
                  <c:v>390</c:v>
                </c:pt>
                <c:pt idx="8">
                  <c:v>720</c:v>
                </c:pt>
                <c:pt idx="9">
                  <c:v>260</c:v>
                </c:pt>
                <c:pt idx="10">
                  <c:v>180</c:v>
                </c:pt>
                <c:pt idx="1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A-48D1-9975-1257769D12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2980207"/>
        <c:axId val="1302979727"/>
      </c:barChart>
      <c:catAx>
        <c:axId val="130298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79727"/>
        <c:crosses val="autoZero"/>
        <c:auto val="1"/>
        <c:lblAlgn val="ctr"/>
        <c:lblOffset val="100"/>
        <c:noMultiLvlLbl val="0"/>
      </c:catAx>
      <c:valAx>
        <c:axId val="13029797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2980207"/>
        <c:crosses val="autoZero"/>
        <c:crossBetween val="between"/>
      </c:valAx>
      <c:spPr>
        <a:solidFill>
          <a:schemeClr val="accent4"/>
        </a:solidFill>
        <a:ln w="19050" cap="flat" cmpd="sng" algn="ctr">
          <a:solidFill>
            <a:srgbClr val="7030A0"/>
          </a:solidFill>
          <a:prstDash val="solid"/>
          <a:miter lim="800000"/>
        </a:ln>
        <a:effectLst>
          <a:glow rad="1397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39700" h="139700" prst="divot"/>
        </a:sp3d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“</a:t>
            </a:r>
            <a:r>
              <a:rPr lang="en-IN" b="1">
                <a:solidFill>
                  <a:srgbClr val="FF0000"/>
                </a:solidFill>
              </a:rPr>
              <a:t>Audience Ratings by Movie”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3631948903382785"/>
          <c:y val="4.6403712296983757E-2"/>
        </c:manualLayout>
      </c:layout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Movie_Data!$F$1</c:f>
              <c:strCache>
                <c:ptCount val="1"/>
                <c:pt idx="0">
                  <c:v>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Movie_Data!$A$2:$A$13</c:f>
              <c:strCache>
                <c:ptCount val="12"/>
                <c:pt idx="0">
                  <c:v>Leo</c:v>
                </c:pt>
                <c:pt idx="1">
                  <c:v>Jailer</c:v>
                </c:pt>
                <c:pt idx="2">
                  <c:v>Kantara</c:v>
                </c:pt>
                <c:pt idx="3">
                  <c:v>Vikram</c:v>
                </c:pt>
                <c:pt idx="4">
                  <c:v>Charlie 777</c:v>
                </c:pt>
                <c:pt idx="5">
                  <c:v>RRR</c:v>
                </c:pt>
                <c:pt idx="6">
                  <c:v>KGF 2</c:v>
                </c:pt>
                <c:pt idx="7">
                  <c:v>Sita Ramam</c:v>
                </c:pt>
                <c:pt idx="8">
                  <c:v>Pushpa</c:v>
                </c:pt>
                <c:pt idx="9">
                  <c:v>Ugramm</c:v>
                </c:pt>
                <c:pt idx="10">
                  <c:v>Love Mocktail</c:v>
                </c:pt>
                <c:pt idx="11">
                  <c:v>Lucia</c:v>
                </c:pt>
              </c:strCache>
            </c:strRef>
          </c:cat>
          <c:val>
            <c:numRef>
              <c:f>Movie_Data!$F$2:$F$13</c:f>
              <c:numCache>
                <c:formatCode>General</c:formatCode>
                <c:ptCount val="12"/>
                <c:pt idx="0">
                  <c:v>8.1999999999999993</c:v>
                </c:pt>
                <c:pt idx="1">
                  <c:v>8.6999999999999993</c:v>
                </c:pt>
                <c:pt idx="2">
                  <c:v>9.1</c:v>
                </c:pt>
                <c:pt idx="3">
                  <c:v>8.9</c:v>
                </c:pt>
                <c:pt idx="4">
                  <c:v>8.5</c:v>
                </c:pt>
                <c:pt idx="5">
                  <c:v>9</c:v>
                </c:pt>
                <c:pt idx="6">
                  <c:v>8.8000000000000007</c:v>
                </c:pt>
                <c:pt idx="7">
                  <c:v>8.6</c:v>
                </c:pt>
                <c:pt idx="8">
                  <c:v>8.4</c:v>
                </c:pt>
                <c:pt idx="9">
                  <c:v>7.9</c:v>
                </c:pt>
                <c:pt idx="10">
                  <c:v>8.1</c:v>
                </c:pt>
                <c:pt idx="11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E-4301-B385-BDDBA75E6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252943"/>
        <c:axId val="1284253903"/>
      </c:lineChart>
      <c:catAx>
        <c:axId val="128425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53903"/>
        <c:crosses val="autoZero"/>
        <c:auto val="1"/>
        <c:lblAlgn val="ctr"/>
        <c:lblOffset val="100"/>
        <c:noMultiLvlLbl val="0"/>
      </c:catAx>
      <c:valAx>
        <c:axId val="12842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5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67000"/>
          </a:schemeClr>
        </a:gs>
        <a:gs pos="48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9525" cap="flat" cmpd="sng" algn="ctr">
      <a:noFill/>
      <a:round/>
    </a:ln>
    <a:effectLst/>
    <a:scene3d>
      <a:camera prst="orthographicFront"/>
      <a:lightRig rig="threePt" dir="t"/>
    </a:scene3d>
    <a:sp3d>
      <a:bevelT w="101600" prst="riblet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“Box Office Share by Genre”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Genre_Summary!$B$1</c:f>
              <c:strCache>
                <c:ptCount val="1"/>
                <c:pt idx="0">
                  <c:v>Total_BoxOffice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AB-432F-A138-B7F7B22AF4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AB-432F-A138-B7F7B22AF4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AB-432F-A138-B7F7B22AF4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AB-432F-A138-B7F7B22AF4C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7AB-432F-A138-B7F7B22AF4C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7AB-432F-A138-B7F7B22AF4C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7AB-432F-A138-B7F7B22AF4C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7AB-432F-A138-B7F7B22AF4C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Genre_Summary!$A$2:$A$5</c:f>
              <c:strCache>
                <c:ptCount val="4"/>
                <c:pt idx="0">
                  <c:v>Action</c:v>
                </c:pt>
                <c:pt idx="1">
                  <c:v>Drama</c:v>
                </c:pt>
                <c:pt idx="2">
                  <c:v>Romance</c:v>
                </c:pt>
                <c:pt idx="3">
                  <c:v>Thriller</c:v>
                </c:pt>
              </c:strCache>
            </c:strRef>
          </c:cat>
          <c:val>
            <c:numRef>
              <c:f>Genre_Summary!$B$2:$B$5</c:f>
              <c:numCache>
                <c:formatCode>General</c:formatCode>
                <c:ptCount val="4"/>
                <c:pt idx="0">
                  <c:v>4360</c:v>
                </c:pt>
                <c:pt idx="1">
                  <c:v>730</c:v>
                </c:pt>
                <c:pt idx="2">
                  <c:v>570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AB-432F-A138-B7F7B22AF4C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6350" cap="flat" cmpd="sng" algn="ctr">
      <a:solidFill>
        <a:srgbClr val="7030A0"/>
      </a:solidFill>
      <a:prstDash val="solid"/>
      <a:miter lim="800000"/>
    </a:ln>
    <a:effectLst>
      <a:glow rad="139700">
        <a:schemeClr val="accent2">
          <a:satMod val="175000"/>
          <a:alpha val="40000"/>
        </a:schemeClr>
      </a:glow>
      <a:innerShdw blurRad="114300">
        <a:prstClr val="black"/>
      </a:innerShdw>
    </a:effectLst>
    <a:scene3d>
      <a:camera prst="orthographicFront"/>
      <a:lightRig rig="threePt" dir="t"/>
    </a:scene3d>
    <a:sp3d>
      <a:bevelT w="139700" h="139700" prst="divot"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“Budget vs Box Office Performance”</a:t>
            </a:r>
            <a:endParaRPr lang="en-US"/>
          </a:p>
        </c:rich>
      </c:tx>
      <c:layout>
        <c:manualLayout>
          <c:xMode val="edge"/>
          <c:yMode val="edge"/>
          <c:x val="0.11798026338410755"/>
          <c:y val="5.3932584269662923E-2"/>
        </c:manualLayout>
      </c:layout>
      <c:overlay val="0"/>
      <c:spPr>
        <a:solidFill>
          <a:srgbClr val="7030A0">
            <a:alpha val="65000"/>
          </a:srgb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Movie_Data!$E$1</c:f>
              <c:strCache>
                <c:ptCount val="1"/>
                <c:pt idx="0">
                  <c:v>Budget_Cr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Movie_Data!$D$2:$D$13</c:f>
              <c:numCache>
                <c:formatCode>General</c:formatCode>
                <c:ptCount val="12"/>
                <c:pt idx="0">
                  <c:v>620</c:v>
                </c:pt>
                <c:pt idx="1">
                  <c:v>540</c:v>
                </c:pt>
                <c:pt idx="2">
                  <c:v>410</c:v>
                </c:pt>
                <c:pt idx="3">
                  <c:v>580</c:v>
                </c:pt>
                <c:pt idx="4">
                  <c:v>320</c:v>
                </c:pt>
                <c:pt idx="5">
                  <c:v>780</c:v>
                </c:pt>
                <c:pt idx="6">
                  <c:v>860</c:v>
                </c:pt>
                <c:pt idx="7">
                  <c:v>390</c:v>
                </c:pt>
                <c:pt idx="8">
                  <c:v>720</c:v>
                </c:pt>
                <c:pt idx="9">
                  <c:v>260</c:v>
                </c:pt>
                <c:pt idx="10">
                  <c:v>180</c:v>
                </c:pt>
                <c:pt idx="11">
                  <c:v>240</c:v>
                </c:pt>
              </c:numCache>
            </c:numRef>
          </c:xVal>
          <c:yVal>
            <c:numRef>
              <c:f>Movie_Data!$E$2:$E$13</c:f>
              <c:numCache>
                <c:formatCode>General</c:formatCode>
                <c:ptCount val="12"/>
                <c:pt idx="0">
                  <c:v>300</c:v>
                </c:pt>
                <c:pt idx="1">
                  <c:v>250</c:v>
                </c:pt>
                <c:pt idx="2">
                  <c:v>160</c:v>
                </c:pt>
                <c:pt idx="3">
                  <c:v>275</c:v>
                </c:pt>
                <c:pt idx="4">
                  <c:v>120</c:v>
                </c:pt>
                <c:pt idx="5">
                  <c:v>350</c:v>
                </c:pt>
                <c:pt idx="6">
                  <c:v>340</c:v>
                </c:pt>
                <c:pt idx="7">
                  <c:v>110</c:v>
                </c:pt>
                <c:pt idx="8">
                  <c:v>280</c:v>
                </c:pt>
                <c:pt idx="9">
                  <c:v>90</c:v>
                </c:pt>
                <c:pt idx="10">
                  <c:v>60</c:v>
                </c:pt>
                <c:pt idx="11">
                  <c:v>85</c:v>
                </c:pt>
              </c:numCache>
            </c:numRef>
          </c:yVal>
          <c:bubbleSize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439A-463B-B162-D23BCDE6C5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400563408"/>
        <c:axId val="400563888"/>
      </c:bubbleChart>
      <c:valAx>
        <c:axId val="4005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63888"/>
        <c:crosses val="autoZero"/>
        <c:crossBetween val="midCat"/>
      </c:valAx>
      <c:valAx>
        <c:axId val="4005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6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12700" cap="flat" cmpd="sng" algn="ctr">
      <a:solidFill>
        <a:schemeClr val="accent4"/>
      </a:solidFill>
      <a:prstDash val="solid"/>
      <a:miter lim="800000"/>
    </a:ln>
    <a:effectLst>
      <a:glow rad="139700">
        <a:schemeClr val="accent5">
          <a:satMod val="175000"/>
          <a:alpha val="40000"/>
        </a:schemeClr>
      </a:glow>
    </a:effectLst>
    <a:scene3d>
      <a:camera prst="orthographicFront"/>
      <a:lightRig rig="threePt" dir="t"/>
    </a:scene3d>
    <a:sp3d prstMaterial="softEdge">
      <a:bevelT w="127000" prst="divot"/>
    </a:sp3d>
  </c:spPr>
  <c:txPr>
    <a:bodyPr/>
    <a:lstStyle/>
    <a:p>
      <a:pPr>
        <a:defRPr>
          <a:solidFill>
            <a:srgbClr val="FFFF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alpha val="24000"/>
            <a:lumOff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4</xdr:row>
      <xdr:rowOff>228600</xdr:rowOff>
    </xdr:from>
    <xdr:to>
      <xdr:col>6</xdr:col>
      <xdr:colOff>450850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35CF3-2CC4-415E-AAD5-28DA6ABFE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565150</xdr:colOff>
      <xdr:row>8</xdr:row>
      <xdr:rowOff>165100</xdr:rowOff>
    </xdr:from>
    <xdr:to>
      <xdr:col>11</xdr:col>
      <xdr:colOff>431800</xdr:colOff>
      <xdr:row>23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FB84A-E729-42F0-AFF8-E1AA0B9F7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69850</xdr:colOff>
      <xdr:row>8</xdr:row>
      <xdr:rowOff>152400</xdr:rowOff>
    </xdr:from>
    <xdr:to>
      <xdr:col>17</xdr:col>
      <xdr:colOff>38100</xdr:colOff>
      <xdr:row>23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9E8792-8478-4096-B831-FB221706F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158750</xdr:colOff>
      <xdr:row>4</xdr:row>
      <xdr:rowOff>146050</xdr:rowOff>
    </xdr:from>
    <xdr:to>
      <xdr:col>22</xdr:col>
      <xdr:colOff>19050</xdr:colOff>
      <xdr:row>16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0CAF77-9514-40BA-A18B-8D49B33E8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8</xdr:col>
      <xdr:colOff>114300</xdr:colOff>
      <xdr:row>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FE2535-CB9D-C698-F59C-46FAA3FF5DB2}"/>
            </a:ext>
          </a:extLst>
        </xdr:cNvPr>
        <xdr:cNvSpPr txBox="1"/>
      </xdr:nvSpPr>
      <xdr:spPr>
        <a:xfrm>
          <a:off x="4993774" y="5514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3307-FA03-46B9-9D67-2035E43A4E5B}">
  <dimension ref="A1:J13"/>
  <sheetViews>
    <sheetView workbookViewId="0">
      <selection activeCell="I2" sqref="I2"/>
    </sheetView>
  </sheetViews>
  <sheetFormatPr defaultColWidth="11.1796875" defaultRowHeight="21.5" customHeight="1" x14ac:dyDescent="0.35"/>
  <cols>
    <col min="1" max="1" width="12.1796875" bestFit="1" customWidth="1"/>
    <col min="4" max="4" width="13.6328125" customWidth="1"/>
    <col min="10" max="10" width="15.453125" customWidth="1"/>
  </cols>
  <sheetData>
    <row r="1" spans="1:10" ht="21.5" customHeight="1" x14ac:dyDescent="0.35">
      <c r="A1" s="2" t="s">
        <v>7</v>
      </c>
      <c r="B1" s="2" t="s">
        <v>8</v>
      </c>
      <c r="C1" s="2" t="s">
        <v>0</v>
      </c>
      <c r="D1" s="2" t="s">
        <v>9</v>
      </c>
      <c r="E1" s="2" t="s">
        <v>10</v>
      </c>
      <c r="F1" s="2" t="s">
        <v>11</v>
      </c>
      <c r="G1" s="2" t="s">
        <v>12</v>
      </c>
      <c r="I1" s="3"/>
      <c r="J1" s="3"/>
    </row>
    <row r="2" spans="1:10" ht="21.5" customHeight="1" x14ac:dyDescent="0.35">
      <c r="A2" s="1" t="s">
        <v>13</v>
      </c>
      <c r="B2" s="1" t="s">
        <v>14</v>
      </c>
      <c r="C2" s="1" t="s">
        <v>1</v>
      </c>
      <c r="D2" s="1">
        <v>620</v>
      </c>
      <c r="E2" s="1">
        <v>300</v>
      </c>
      <c r="F2" s="1">
        <v>8.1999999999999993</v>
      </c>
      <c r="G2" s="1">
        <v>18000</v>
      </c>
      <c r="I2" s="4"/>
      <c r="J2" s="4"/>
    </row>
    <row r="3" spans="1:10" ht="21.5" customHeight="1" x14ac:dyDescent="0.35">
      <c r="A3" s="1" t="s">
        <v>15</v>
      </c>
      <c r="B3" s="1" t="s">
        <v>14</v>
      </c>
      <c r="C3" s="1" t="s">
        <v>2</v>
      </c>
      <c r="D3" s="1">
        <v>540</v>
      </c>
      <c r="E3" s="1">
        <v>250</v>
      </c>
      <c r="F3" s="1">
        <v>8.6999999999999993</v>
      </c>
      <c r="G3" s="1">
        <v>21000</v>
      </c>
      <c r="I3" s="4"/>
      <c r="J3" s="4"/>
    </row>
    <row r="4" spans="1:10" ht="21.5" customHeight="1" x14ac:dyDescent="0.35">
      <c r="A4" s="1" t="s">
        <v>16</v>
      </c>
      <c r="B4" s="1" t="s">
        <v>17</v>
      </c>
      <c r="C4" s="1" t="s">
        <v>1</v>
      </c>
      <c r="D4" s="1">
        <v>410</v>
      </c>
      <c r="E4" s="1">
        <v>160</v>
      </c>
      <c r="F4" s="1">
        <v>9.1</v>
      </c>
      <c r="G4" s="1">
        <v>25000</v>
      </c>
      <c r="I4" s="4"/>
      <c r="J4" s="4"/>
    </row>
    <row r="5" spans="1:10" ht="21.5" customHeight="1" x14ac:dyDescent="0.35">
      <c r="A5" s="1" t="s">
        <v>18</v>
      </c>
      <c r="B5" s="1" t="s">
        <v>14</v>
      </c>
      <c r="C5" s="1" t="s">
        <v>3</v>
      </c>
      <c r="D5" s="1">
        <v>580</v>
      </c>
      <c r="E5" s="1">
        <v>275</v>
      </c>
      <c r="F5" s="1">
        <v>8.9</v>
      </c>
      <c r="G5" s="1">
        <v>23000</v>
      </c>
      <c r="I5" s="4"/>
      <c r="J5" s="4"/>
    </row>
    <row r="6" spans="1:10" ht="21.5" customHeight="1" x14ac:dyDescent="0.35">
      <c r="A6" s="1" t="s">
        <v>19</v>
      </c>
      <c r="B6" s="1" t="s">
        <v>17</v>
      </c>
      <c r="C6" s="1" t="s">
        <v>2</v>
      </c>
      <c r="D6" s="1">
        <v>320</v>
      </c>
      <c r="E6" s="1">
        <v>120</v>
      </c>
      <c r="F6" s="1">
        <v>8.5</v>
      </c>
      <c r="G6" s="1">
        <v>15000</v>
      </c>
    </row>
    <row r="7" spans="1:10" ht="21.5" customHeight="1" x14ac:dyDescent="0.35">
      <c r="A7" s="1" t="s">
        <v>20</v>
      </c>
      <c r="B7" s="1" t="s">
        <v>14</v>
      </c>
      <c r="C7" s="1" t="s">
        <v>4</v>
      </c>
      <c r="D7" s="1">
        <v>780</v>
      </c>
      <c r="E7" s="1">
        <v>350</v>
      </c>
      <c r="F7" s="1">
        <v>9</v>
      </c>
      <c r="G7" s="1">
        <v>30000</v>
      </c>
    </row>
    <row r="8" spans="1:10" ht="21.5" customHeight="1" x14ac:dyDescent="0.35">
      <c r="A8" s="1" t="s">
        <v>21</v>
      </c>
      <c r="B8" s="1" t="s">
        <v>14</v>
      </c>
      <c r="C8" s="1" t="s">
        <v>5</v>
      </c>
      <c r="D8" s="1">
        <v>860</v>
      </c>
      <c r="E8" s="1">
        <v>340</v>
      </c>
      <c r="F8" s="1">
        <v>8.8000000000000007</v>
      </c>
      <c r="G8" s="1">
        <v>28000</v>
      </c>
    </row>
    <row r="9" spans="1:10" ht="21.5" customHeight="1" x14ac:dyDescent="0.35">
      <c r="A9" s="1" t="s">
        <v>22</v>
      </c>
      <c r="B9" s="1" t="s">
        <v>23</v>
      </c>
      <c r="C9" s="1" t="s">
        <v>3</v>
      </c>
      <c r="D9" s="1">
        <v>390</v>
      </c>
      <c r="E9" s="1">
        <v>110</v>
      </c>
      <c r="F9" s="1">
        <v>8.6</v>
      </c>
      <c r="G9" s="1">
        <v>17000</v>
      </c>
    </row>
    <row r="10" spans="1:10" ht="21.5" customHeight="1" x14ac:dyDescent="0.35">
      <c r="A10" s="1" t="s">
        <v>24</v>
      </c>
      <c r="B10" s="1" t="s">
        <v>14</v>
      </c>
      <c r="C10" s="1" t="s">
        <v>4</v>
      </c>
      <c r="D10" s="1">
        <v>720</v>
      </c>
      <c r="E10" s="1">
        <v>280</v>
      </c>
      <c r="F10" s="1">
        <v>8.4</v>
      </c>
      <c r="G10" s="1">
        <v>26000</v>
      </c>
    </row>
    <row r="11" spans="1:10" ht="21.5" customHeight="1" x14ac:dyDescent="0.35">
      <c r="A11" s="1" t="s">
        <v>25</v>
      </c>
      <c r="B11" s="1" t="s">
        <v>14</v>
      </c>
      <c r="C11" s="1" t="s">
        <v>5</v>
      </c>
      <c r="D11" s="1">
        <v>260</v>
      </c>
      <c r="E11" s="1">
        <v>90</v>
      </c>
      <c r="F11" s="1">
        <v>7.9</v>
      </c>
      <c r="G11" s="1">
        <v>9000</v>
      </c>
    </row>
    <row r="12" spans="1:10" ht="21.5" customHeight="1" x14ac:dyDescent="0.35">
      <c r="A12" s="1" t="s">
        <v>26</v>
      </c>
      <c r="B12" s="1" t="s">
        <v>23</v>
      </c>
      <c r="C12" s="1" t="s">
        <v>6</v>
      </c>
      <c r="D12" s="1">
        <v>180</v>
      </c>
      <c r="E12" s="1">
        <v>60</v>
      </c>
      <c r="F12" s="1">
        <v>8.1</v>
      </c>
      <c r="G12" s="1">
        <v>11000</v>
      </c>
    </row>
    <row r="13" spans="1:10" ht="21.5" customHeight="1" x14ac:dyDescent="0.35">
      <c r="A13" s="1" t="s">
        <v>27</v>
      </c>
      <c r="B13" s="1" t="s">
        <v>28</v>
      </c>
      <c r="C13" s="1" t="s">
        <v>6</v>
      </c>
      <c r="D13" s="1">
        <v>240</v>
      </c>
      <c r="E13" s="1">
        <v>85</v>
      </c>
      <c r="F13" s="1">
        <v>8.3000000000000007</v>
      </c>
      <c r="G13" s="1">
        <v>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F4BD-03F2-4C65-8EEF-566FC712F204}">
  <dimension ref="A1:B5"/>
  <sheetViews>
    <sheetView workbookViewId="0">
      <selection activeCell="D2" sqref="D2"/>
    </sheetView>
  </sheetViews>
  <sheetFormatPr defaultColWidth="16.08984375" defaultRowHeight="24" customHeight="1" x14ac:dyDescent="0.35"/>
  <sheetData>
    <row r="1" spans="1:2" ht="24" customHeight="1" x14ac:dyDescent="0.35">
      <c r="A1" s="2" t="s">
        <v>8</v>
      </c>
      <c r="B1" s="2" t="s">
        <v>29</v>
      </c>
    </row>
    <row r="2" spans="1:2" ht="24" customHeight="1" x14ac:dyDescent="0.35">
      <c r="A2" s="6" t="s">
        <v>14</v>
      </c>
      <c r="B2" s="6">
        <f>SUMIF(Movie_Data!B:B, A2, Movie_Data!D:D)</f>
        <v>4360</v>
      </c>
    </row>
    <row r="3" spans="1:2" ht="24" customHeight="1" x14ac:dyDescent="0.35">
      <c r="A3" s="6" t="s">
        <v>17</v>
      </c>
      <c r="B3" s="6">
        <f>SUMIF(Movie_Data!B:B, A3, Movie_Data!D:D)</f>
        <v>730</v>
      </c>
    </row>
    <row r="4" spans="1:2" ht="24" customHeight="1" x14ac:dyDescent="0.35">
      <c r="A4" s="6" t="s">
        <v>23</v>
      </c>
      <c r="B4" s="6">
        <f>SUMIF(Movie_Data!B:B, A4, Movie_Data!D:D)</f>
        <v>570</v>
      </c>
    </row>
    <row r="5" spans="1:2" ht="24" customHeight="1" x14ac:dyDescent="0.35">
      <c r="A5" s="6" t="s">
        <v>28</v>
      </c>
      <c r="B5" s="6">
        <f>SUMIF(Movie_Data!B:B, A5, Movie_Data!D:D)</f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4C2B-4967-4684-86F7-ED1D7CFC506B}">
  <sheetPr>
    <pageSetUpPr autoPageBreaks="0"/>
  </sheetPr>
  <dimension ref="C1:V8"/>
  <sheetViews>
    <sheetView tabSelected="1" zoomScale="76" zoomScaleNormal="76" workbookViewId="0">
      <selection activeCell="Y52" sqref="Y52"/>
    </sheetView>
  </sheetViews>
  <sheetFormatPr defaultRowHeight="14.5" x14ac:dyDescent="0.35"/>
  <cols>
    <col min="26" max="26" width="15" customWidth="1"/>
    <col min="27" max="27" width="16.36328125" bestFit="1" customWidth="1"/>
  </cols>
  <sheetData>
    <row r="1" spans="3:22" x14ac:dyDescent="0.35">
      <c r="C1" s="8" t="s">
        <v>35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3:22" x14ac:dyDescent="0.35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3:22" x14ac:dyDescent="0.35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5" spans="3:22" ht="18.5" x14ac:dyDescent="0.35">
      <c r="L5" s="7" t="s">
        <v>30</v>
      </c>
      <c r="M5" s="7" t="s">
        <v>31</v>
      </c>
    </row>
    <row r="6" spans="3:22" ht="29" x14ac:dyDescent="0.35">
      <c r="L6" s="5" t="s">
        <v>32</v>
      </c>
      <c r="M6" s="10">
        <f>SUM(Movie_Data!D:D)</f>
        <v>5900</v>
      </c>
    </row>
    <row r="7" spans="3:22" ht="29" x14ac:dyDescent="0.35">
      <c r="L7" s="5" t="s">
        <v>33</v>
      </c>
      <c r="M7" s="11">
        <f>AVERAGE(Movie_Data!F:F)</f>
        <v>8.5416666666666661</v>
      </c>
    </row>
    <row r="8" spans="3:22" ht="29" x14ac:dyDescent="0.35">
      <c r="L8" s="5" t="s">
        <v>34</v>
      </c>
      <c r="M8" s="10" t="str">
        <f>_xlfn.XLOOKUP(
MAX(Movie_Data!D:D),
Movie_Data!D:D,
Movie_Data!A:A
)</f>
        <v>KGF 2</v>
      </c>
    </row>
  </sheetData>
  <mergeCells count="1">
    <mergeCell ref="C1:V3"/>
  </mergeCells>
  <conditionalFormatting sqref="M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M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M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Movie_Data</vt:lpstr>
      <vt:lpstr>Genre_Summary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2025-12-16T12:33:20Z</dcterms:created>
  <dcterms:modified xsi:type="dcterms:W3CDTF">2025-12-16T21:10:49Z</dcterms:modified>
</cp:coreProperties>
</file>