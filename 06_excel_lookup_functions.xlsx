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01E9C630-5403-45B1-A0C5-E21712593E7A}" xr6:coauthVersionLast="47" xr6:coauthVersionMax="47" xr10:uidLastSave="{00000000-0000-0000-0000-000000000000}"/>
  <bookViews>
    <workbookView xWindow="-110" yWindow="-110" windowWidth="19420" windowHeight="10300" firstSheet="6" activeTab="9" xr2:uid="{ED9B5C72-F723-4760-9B18-FF6C8D58835C}"/>
  </bookViews>
  <sheets>
    <sheet name="VLOOKUP" sheetId="1" r:id="rId1"/>
    <sheet name="VLOOKUP PRACTICE" sheetId="2" r:id="rId2"/>
    <sheet name="HLOOKUP" sheetId="3" r:id="rId3"/>
    <sheet name="HLOOKUP PRACTICE" sheetId="4" r:id="rId4"/>
    <sheet name="XLOOKUP" sheetId="5" r:id="rId5"/>
    <sheet name="XLOOKUP PRACTICE" sheetId="6" r:id="rId6"/>
    <sheet name="INDEX+MATCH" sheetId="7" r:id="rId7"/>
    <sheet name="I + M PRACTICE" sheetId="8" r:id="rId8"/>
    <sheet name="2D INDEX+MATCH" sheetId="9" r:id="rId9"/>
    <sheet name="2D I+M PRACTIC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0" l="1"/>
  <c r="P11" i="10"/>
  <c r="P12" i="10"/>
  <c r="P13" i="10"/>
  <c r="P9" i="10"/>
  <c r="J10" i="10"/>
  <c r="J11" i="10"/>
  <c r="J12" i="10"/>
  <c r="J13" i="10"/>
  <c r="J9" i="10"/>
  <c r="D10" i="10"/>
  <c r="D11" i="10"/>
  <c r="D12" i="10"/>
  <c r="D13" i="10"/>
  <c r="D9" i="10"/>
  <c r="C10" i="9"/>
  <c r="C11" i="9"/>
  <c r="C12" i="9"/>
  <c r="C13" i="9"/>
  <c r="C9" i="9"/>
  <c r="J10" i="8"/>
  <c r="J11" i="8"/>
  <c r="J12" i="8"/>
  <c r="J13" i="8"/>
  <c r="J9" i="8"/>
  <c r="G10" i="8"/>
  <c r="G11" i="8"/>
  <c r="G12" i="8"/>
  <c r="G13" i="8"/>
  <c r="G9" i="8"/>
  <c r="M3" i="8"/>
  <c r="M4" i="8"/>
  <c r="M5" i="8"/>
  <c r="M6" i="8"/>
  <c r="M2" i="8"/>
  <c r="J3" i="8"/>
  <c r="J4" i="8"/>
  <c r="J5" i="8"/>
  <c r="J6" i="8"/>
  <c r="J2" i="8"/>
  <c r="G3" i="8"/>
  <c r="G4" i="8"/>
  <c r="G5" i="8"/>
  <c r="G6" i="8"/>
  <c r="G2" i="8"/>
  <c r="M3" i="7"/>
  <c r="M4" i="7"/>
  <c r="M5" i="7"/>
  <c r="M6" i="7"/>
  <c r="M2" i="7"/>
  <c r="J3" i="7"/>
  <c r="J4" i="7"/>
  <c r="J5" i="7"/>
  <c r="J6" i="7"/>
  <c r="J2" i="7"/>
  <c r="G3" i="7"/>
  <c r="G4" i="7"/>
  <c r="G5" i="7"/>
  <c r="G6" i="7"/>
  <c r="G2" i="7"/>
  <c r="L10" i="6"/>
  <c r="L9" i="6"/>
  <c r="I10" i="6"/>
  <c r="I9" i="6"/>
  <c r="E10" i="6"/>
  <c r="E9" i="6"/>
  <c r="B10" i="6"/>
  <c r="B9" i="6"/>
  <c r="K10" i="5"/>
  <c r="K9" i="5"/>
  <c r="H10" i="5"/>
  <c r="H9" i="5"/>
  <c r="E10" i="5"/>
  <c r="E9" i="5"/>
  <c r="B10" i="5"/>
  <c r="B9" i="5"/>
  <c r="I10" i="4"/>
  <c r="I9" i="4"/>
  <c r="I3" i="4"/>
  <c r="I2" i="4"/>
  <c r="F8" i="3"/>
  <c r="F7" i="3"/>
  <c r="B8" i="3"/>
  <c r="B7" i="3"/>
  <c r="O3" i="2"/>
  <c r="O2" i="2"/>
  <c r="G3" i="2"/>
  <c r="G2" i="2"/>
  <c r="G2" i="1"/>
</calcChain>
</file>

<file path=xl/sharedStrings.xml><?xml version="1.0" encoding="utf-8"?>
<sst xmlns="http://schemas.openxmlformats.org/spreadsheetml/2006/main" count="493" uniqueCount="190">
  <si>
    <t>Emp_ID</t>
  </si>
  <si>
    <t>Name</t>
  </si>
  <si>
    <t>Dept</t>
  </si>
  <si>
    <t>Salary</t>
  </si>
  <si>
    <t>E101</t>
  </si>
  <si>
    <t>Ravi</t>
  </si>
  <si>
    <t>HR</t>
  </si>
  <si>
    <t>E102</t>
  </si>
  <si>
    <t>Sita</t>
  </si>
  <si>
    <t>Finance</t>
  </si>
  <si>
    <t>E103</t>
  </si>
  <si>
    <t>Arjun</t>
  </si>
  <si>
    <t>IT</t>
  </si>
  <si>
    <t>E104</t>
  </si>
  <si>
    <t>Meena</t>
  </si>
  <si>
    <t>Marketing</t>
  </si>
  <si>
    <t>E105</t>
  </si>
  <si>
    <t>Kiran</t>
  </si>
  <si>
    <t>Operations</t>
  </si>
  <si>
    <t>Purpose</t>
  </si>
  <si>
    <t>Formula</t>
  </si>
  <si>
    <t>Basic syntax</t>
  </si>
  <si>
    <t>=VLOOKUP(lookup_value, table_array, col_index_num, [range_lookup])</t>
  </si>
  <si>
    <t>Exact match (recommended)</t>
  </si>
  <si>
    <t>With absolute reference (drag down)</t>
  </si>
  <si>
    <t>Approximate match</t>
  </si>
  <si>
    <t>Sales</t>
  </si>
  <si>
    <t>Ops</t>
  </si>
  <si>
    <t>Product_ID</t>
  </si>
  <si>
    <t>Product</t>
  </si>
  <si>
    <t>Category</t>
  </si>
  <si>
    <t>Price</t>
  </si>
  <si>
    <t>P101</t>
  </si>
  <si>
    <t>Mobile</t>
  </si>
  <si>
    <t>Electronics</t>
  </si>
  <si>
    <t>P102</t>
  </si>
  <si>
    <t>Shirt</t>
  </si>
  <si>
    <t>Fashion</t>
  </si>
  <si>
    <t>P103</t>
  </si>
  <si>
    <t>Laptop</t>
  </si>
  <si>
    <t>P104</t>
  </si>
  <si>
    <t>Shoes</t>
  </si>
  <si>
    <t>Footwear</t>
  </si>
  <si>
    <t>P105</t>
  </si>
  <si>
    <t>Watch</t>
  </si>
  <si>
    <t>Accessories</t>
  </si>
  <si>
    <t>Month</t>
  </si>
  <si>
    <t>Jan</t>
  </si>
  <si>
    <t>Feb</t>
  </si>
  <si>
    <t>Mar</t>
  </si>
  <si>
    <t>Apr</t>
  </si>
  <si>
    <t>May</t>
  </si>
  <si>
    <t>Profit</t>
  </si>
  <si>
    <t>=HLOOKUP(lookup_value, table_array, row_index_num, [range_lookup])</t>
  </si>
  <si>
    <t>With absolute reference (drag)</t>
  </si>
  <si>
    <t>=VLOOKUP(F2, A2:D6, 4, FALSE)</t>
  </si>
  <si>
    <t>=VLOOKUP(F2, $A$2:$D$6, 4, FALSE)</t>
  </si>
  <si>
    <t>=VLOOKUP(F2, A2:D6, 4, TRUE)</t>
  </si>
  <si>
    <t>Quarter</t>
  </si>
  <si>
    <t>Q1</t>
  </si>
  <si>
    <t>Q2</t>
  </si>
  <si>
    <t>Q3</t>
  </si>
  <si>
    <t>Q4</t>
  </si>
  <si>
    <t>Revenue</t>
  </si>
  <si>
    <t>Expenses</t>
  </si>
  <si>
    <t>Exact match – Sales</t>
  </si>
  <si>
    <t xml:space="preserve"> Formula</t>
  </si>
  <si>
    <t>=HLOOKUP(A7, A1:F3, 2, FALSE)</t>
  </si>
  <si>
    <t>=HLOOKUP(A7, $A$1:$F$3, 2, FALSE)</t>
  </si>
  <si>
    <t>=HLOOKUP(A7, A1:F3, 2, TRUE)</t>
  </si>
  <si>
    <t>Department</t>
  </si>
  <si>
    <t>Rating</t>
  </si>
  <si>
    <t>E201</t>
  </si>
  <si>
    <t>Aman</t>
  </si>
  <si>
    <t>E202</t>
  </si>
  <si>
    <t>Bhavya</t>
  </si>
  <si>
    <t>E203</t>
  </si>
  <si>
    <t>Charan</t>
  </si>
  <si>
    <t>E204</t>
  </si>
  <si>
    <t>Divya</t>
  </si>
  <si>
    <t>E205</t>
  </si>
  <si>
    <t>Farhan</t>
  </si>
  <si>
    <t>Product_Name</t>
  </si>
  <si>
    <t>Stock</t>
  </si>
  <si>
    <t>P301</t>
  </si>
  <si>
    <t>Keyboard</t>
  </si>
  <si>
    <t>P302</t>
  </si>
  <si>
    <t>Chair</t>
  </si>
  <si>
    <t>Furniture</t>
  </si>
  <si>
    <t>P303</t>
  </si>
  <si>
    <t>Mouse</t>
  </si>
  <si>
    <t>P304</t>
  </si>
  <si>
    <t>Table</t>
  </si>
  <si>
    <t>P305</t>
  </si>
  <si>
    <t>Headset</t>
  </si>
  <si>
    <t>Emp_ID → Salary</t>
  </si>
  <si>
    <t>Emp_ID → Department</t>
  </si>
  <si>
    <t>With if_not_found</t>
  </si>
  <si>
    <t>Absolute reference</t>
  </si>
  <si>
    <t>=XLOOKUP(lookup_value, lookup_array, return_array)</t>
  </si>
  <si>
    <t>=XLOOKUP(A9, A1:A6, D1:D6)</t>
  </si>
  <si>
    <t>=XLOOKUP(D9, A1:A6, C1:C6)</t>
  </si>
  <si>
    <t>=XLOOKUP(A9, A1:A6, D1:D6, "Not Found")</t>
  </si>
  <si>
    <t>=XLOOKUP(A9, $A$1:$A$6, $D$1:$D$6)</t>
  </si>
  <si>
    <t>Product_ID → Price</t>
  </si>
  <si>
    <t>Product_ID → Stock</t>
  </si>
  <si>
    <t>=XLOOKUP(G9, G1:G6, K1:K6)</t>
  </si>
  <si>
    <t>=XLOOKUP(J9, G1:G6, J1:J6)</t>
  </si>
  <si>
    <t>=XLOOKUP(G9, G1:G6, K1:K6, "Not Found")</t>
  </si>
  <si>
    <t>=XLOOKUP(G9, $G$1:$G$6, $K$1:$K$6)</t>
  </si>
  <si>
    <t>E301</t>
  </si>
  <si>
    <t>Akash</t>
  </si>
  <si>
    <t>E302</t>
  </si>
  <si>
    <t>Bhanu</t>
  </si>
  <si>
    <t>E303</t>
  </si>
  <si>
    <t>Chetan</t>
  </si>
  <si>
    <t>E304</t>
  </si>
  <si>
    <t>Deepa</t>
  </si>
  <si>
    <t>E305</t>
  </si>
  <si>
    <t>Farah</t>
  </si>
  <si>
    <t>P401</t>
  </si>
  <si>
    <t>Monitor</t>
  </si>
  <si>
    <t>P402</t>
  </si>
  <si>
    <t>Desk</t>
  </si>
  <si>
    <t>P403</t>
  </si>
  <si>
    <t>Webcam</t>
  </si>
  <si>
    <t>P404</t>
  </si>
  <si>
    <t>Lamp</t>
  </si>
  <si>
    <t>P405</t>
  </si>
  <si>
    <t>Router</t>
  </si>
  <si>
    <t>E401</t>
  </si>
  <si>
    <t>Arun</t>
  </si>
  <si>
    <t>E402</t>
  </si>
  <si>
    <t>Bina</t>
  </si>
  <si>
    <t>E403</t>
  </si>
  <si>
    <t>E404</t>
  </si>
  <si>
    <t>Diya</t>
  </si>
  <si>
    <t>E405</t>
  </si>
  <si>
    <t>Farooq</t>
  </si>
  <si>
    <t>Syntax</t>
  </si>
  <si>
    <t>MATCH only</t>
  </si>
  <si>
    <t>INDEX only</t>
  </si>
  <si>
    <t>INDEX + MATCH (combined)</t>
  </si>
  <si>
    <t>=MATCH(lookup_value, lookup_array, 0)</t>
  </si>
  <si>
    <t>=INDEX(return_array, row_number)</t>
  </si>
  <si>
    <t>=INDEX(return_array, MATCH(lookup_value, lookup_array, 0))</t>
  </si>
  <si>
    <t>E501</t>
  </si>
  <si>
    <t>Ajay</t>
  </si>
  <si>
    <t>E502</t>
  </si>
  <si>
    <t>Bhuvan</t>
  </si>
  <si>
    <t>E503</t>
  </si>
  <si>
    <t>Chitra</t>
  </si>
  <si>
    <t>E504</t>
  </si>
  <si>
    <t>Deepak</t>
  </si>
  <si>
    <t>E505</t>
  </si>
  <si>
    <t>P501</t>
  </si>
  <si>
    <t>P502</t>
  </si>
  <si>
    <t>P503</t>
  </si>
  <si>
    <t>P504</t>
  </si>
  <si>
    <t>P505</t>
  </si>
  <si>
    <t>E601</t>
  </si>
  <si>
    <t>E602</t>
  </si>
  <si>
    <t>E603</t>
  </si>
  <si>
    <t>E604</t>
  </si>
  <si>
    <t>E605</t>
  </si>
  <si>
    <t>MATCH (row)</t>
  </si>
  <si>
    <t>MATCH (column)</t>
  </si>
  <si>
    <t>2D INDEX + MATCH</t>
  </si>
  <si>
    <t>=MATCH(row_lookup_value, row_header_range, 0)</t>
  </si>
  <si>
    <t>=MATCH(column_lookup_value, column_header_range, 0)</t>
  </si>
  <si>
    <t>=INDEX(data_range, row_num, col_num)</t>
  </si>
  <si>
    <t>=INDEX(data_range, MATCH(row_lookup, row_headers, 0), MATCH(col_lookup, col_headers, 0))</t>
  </si>
  <si>
    <t>E701</t>
  </si>
  <si>
    <t>E702</t>
  </si>
  <si>
    <t>E703</t>
  </si>
  <si>
    <t>E704</t>
  </si>
  <si>
    <t>E705</t>
  </si>
  <si>
    <t>Roll_No</t>
  </si>
  <si>
    <t>Math</t>
  </si>
  <si>
    <t>Science</t>
  </si>
  <si>
    <t>English</t>
  </si>
  <si>
    <t>Computer</t>
  </si>
  <si>
    <t>R01</t>
  </si>
  <si>
    <t>R02</t>
  </si>
  <si>
    <t>R03</t>
  </si>
  <si>
    <t>R04</t>
  </si>
  <si>
    <t>R05</t>
  </si>
  <si>
    <t>Subject</t>
  </si>
  <si>
    <t>Marks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</si>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</sst>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679B-318C-4C89-BAED-08428DA2BC43}">
  <dimension ref="A1:J6"/>
  <sheetViews>
    <sheetView workbookViewId="0">
      <selection activeCell="G2" sqref="G2"/>
    </sheetView>
  </sheetViews>
  <sheetFormatPr defaultColWidth="12.1796875" defaultRowHeight="43" customHeight="1"/>
  <cols>
    <col min="6" max="6" width="13.81640625" customWidth="1"/>
    <col min="9" max="9" width="19.7265625" customWidth="1"/>
    <col min="10" max="10" width="46.36328125" customWidth="1"/>
  </cols>
  <sheetData>
    <row r="1" spans="1:10" ht="43" customHeight="1">
      <c r="A1" s="9" t="s">
        <v>0</v>
      </c>
      <c r="B1" s="9" t="s">
        <v>1</v>
      </c>
      <c r="C1" s="9" t="s">
        <v>2</v>
      </c>
      <c r="D1" s="9" t="s">
        <v>3</v>
      </c>
      <c r="F1" s="9" t="s">
        <v>0</v>
      </c>
      <c r="G1" s="9" t="s">
        <v>3</v>
      </c>
      <c r="I1" s="9" t="s">
        <v>19</v>
      </c>
      <c r="J1" s="9" t="s">
        <v>20</v>
      </c>
    </row>
    <row r="2" spans="1:10" ht="43" customHeight="1">
      <c r="A2" s="7" t="s">
        <v>4</v>
      </c>
      <c r="B2" s="7" t="s">
        <v>5</v>
      </c>
      <c r="C2" s="7" t="s">
        <v>6</v>
      </c>
      <c r="D2" s="7">
        <v>25000</v>
      </c>
      <c r="F2" s="7" t="s">
        <v>10</v>
      </c>
      <c r="G2" s="7">
        <f>VLOOKUP(F2,A2:D6,4,0)</f>
        <v>40000</v>
      </c>
      <c r="I2" s="6" t="s">
        <v>21</v>
      </c>
      <c r="J2" s="10" t="s">
        <v>22</v>
      </c>
    </row>
    <row r="3" spans="1:10" ht="43" customHeight="1">
      <c r="A3" s="7" t="s">
        <v>7</v>
      </c>
      <c r="B3" s="7" t="s">
        <v>8</v>
      </c>
      <c r="C3" s="7" t="s">
        <v>9</v>
      </c>
      <c r="D3" s="7">
        <v>32000</v>
      </c>
      <c r="I3" s="6" t="s">
        <v>23</v>
      </c>
      <c r="J3" s="11" t="s">
        <v>55</v>
      </c>
    </row>
    <row r="4" spans="1:10" ht="43" customHeight="1">
      <c r="A4" s="7" t="s">
        <v>10</v>
      </c>
      <c r="B4" s="7" t="s">
        <v>11</v>
      </c>
      <c r="C4" s="7" t="s">
        <v>12</v>
      </c>
      <c r="D4" s="7">
        <v>40000</v>
      </c>
      <c r="I4" s="6" t="s">
        <v>24</v>
      </c>
      <c r="J4" s="11" t="s">
        <v>56</v>
      </c>
    </row>
    <row r="5" spans="1:10" ht="43" customHeight="1">
      <c r="A5" s="7" t="s">
        <v>13</v>
      </c>
      <c r="B5" s="7" t="s">
        <v>14</v>
      </c>
      <c r="C5" s="7" t="s">
        <v>15</v>
      </c>
      <c r="D5" s="7">
        <v>28000</v>
      </c>
      <c r="I5" s="6" t="s">
        <v>25</v>
      </c>
      <c r="J5" s="11" t="s">
        <v>57</v>
      </c>
    </row>
    <row r="6" spans="1:10" ht="43" customHeight="1">
      <c r="A6" s="7" t="s">
        <v>16</v>
      </c>
      <c r="B6" s="7" t="s">
        <v>17</v>
      </c>
      <c r="C6" s="7" t="s">
        <v>18</v>
      </c>
      <c r="D6" s="7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BF35-2D77-4A58-AE22-1826E767E9B5}">
  <dimension ref="A1:O6"/>
  <sheetViews>
    <sheetView workbookViewId="0">
      <selection activeCell="O2" sqref="O2:O3"/>
    </sheetView>
  </sheetViews>
  <sheetFormatPr defaultColWidth="11" defaultRowHeight="36.5" customHeight="1"/>
  <sheetData>
    <row r="1" spans="1:15" ht="36.5" customHeight="1">
      <c r="A1" s="9" t="s">
        <v>0</v>
      </c>
      <c r="B1" s="9" t="s">
        <v>1</v>
      </c>
      <c r="C1" s="9" t="s">
        <v>2</v>
      </c>
      <c r="D1" s="12" t="s">
        <v>3</v>
      </c>
      <c r="F1" s="9" t="s">
        <v>0</v>
      </c>
      <c r="G1" s="9" t="s">
        <v>3</v>
      </c>
      <c r="I1" s="9" t="s">
        <v>28</v>
      </c>
      <c r="J1" s="9" t="s">
        <v>29</v>
      </c>
      <c r="K1" s="9" t="s">
        <v>30</v>
      </c>
      <c r="L1" s="12" t="s">
        <v>31</v>
      </c>
      <c r="N1" s="9" t="s">
        <v>28</v>
      </c>
      <c r="O1" s="9" t="s">
        <v>31</v>
      </c>
    </row>
    <row r="2" spans="1:15" ht="36.5" customHeight="1">
      <c r="A2" s="6" t="s">
        <v>4</v>
      </c>
      <c r="B2" s="6" t="s">
        <v>5</v>
      </c>
      <c r="C2" s="6" t="s">
        <v>6</v>
      </c>
      <c r="D2" s="5">
        <v>25000</v>
      </c>
      <c r="F2" s="6" t="s">
        <v>10</v>
      </c>
      <c r="G2" s="6">
        <f>VLOOKUP(F2,$A$2:$D$6,4,0)</f>
        <v>42000</v>
      </c>
      <c r="I2" s="6" t="s">
        <v>32</v>
      </c>
      <c r="J2" s="6" t="s">
        <v>33</v>
      </c>
      <c r="K2" s="6" t="s">
        <v>34</v>
      </c>
      <c r="L2" s="5">
        <v>15000</v>
      </c>
      <c r="N2" s="6" t="s">
        <v>40</v>
      </c>
      <c r="O2" s="6">
        <f>VLOOKUP(N2,$I$2:$L$6,4,0)</f>
        <v>3200</v>
      </c>
    </row>
    <row r="3" spans="1:15" ht="36.5" customHeight="1">
      <c r="A3" s="6" t="s">
        <v>7</v>
      </c>
      <c r="B3" s="6" t="s">
        <v>8</v>
      </c>
      <c r="C3" s="6" t="s">
        <v>12</v>
      </c>
      <c r="D3" s="5">
        <v>38000</v>
      </c>
      <c r="F3" s="6" t="s">
        <v>4</v>
      </c>
      <c r="G3" s="6">
        <f>VLOOKUP(F3,$A$2:$D$6,4,0)</f>
        <v>25000</v>
      </c>
      <c r="I3" s="6" t="s">
        <v>35</v>
      </c>
      <c r="J3" s="6" t="s">
        <v>36</v>
      </c>
      <c r="K3" s="6" t="s">
        <v>37</v>
      </c>
      <c r="L3" s="5">
        <v>1800</v>
      </c>
      <c r="N3" s="6" t="s">
        <v>35</v>
      </c>
      <c r="O3" s="6">
        <f>VLOOKUP(N3,$I$2:$L$6,4,0)</f>
        <v>1800</v>
      </c>
    </row>
    <row r="4" spans="1:15" ht="36.5" customHeight="1">
      <c r="A4" s="6" t="s">
        <v>10</v>
      </c>
      <c r="B4" s="6" t="s">
        <v>11</v>
      </c>
      <c r="C4" s="6" t="s">
        <v>12</v>
      </c>
      <c r="D4" s="5">
        <v>42000</v>
      </c>
      <c r="I4" s="6" t="s">
        <v>38</v>
      </c>
      <c r="J4" s="6" t="s">
        <v>39</v>
      </c>
      <c r="K4" s="6" t="s">
        <v>34</v>
      </c>
      <c r="L4" s="5">
        <v>55000</v>
      </c>
    </row>
    <row r="5" spans="1:15" ht="36.5" customHeight="1">
      <c r="A5" s="6" t="s">
        <v>13</v>
      </c>
      <c r="B5" s="6" t="s">
        <v>14</v>
      </c>
      <c r="C5" s="6" t="s">
        <v>26</v>
      </c>
      <c r="D5" s="5">
        <v>30000</v>
      </c>
      <c r="I5" s="6" t="s">
        <v>40</v>
      </c>
      <c r="J5" s="6" t="s">
        <v>41</v>
      </c>
      <c r="K5" s="6" t="s">
        <v>42</v>
      </c>
      <c r="L5" s="5">
        <v>3200</v>
      </c>
    </row>
    <row r="6" spans="1:15" ht="36.5" customHeight="1">
      <c r="A6" s="6" t="s">
        <v>16</v>
      </c>
      <c r="B6" s="6" t="s">
        <v>17</v>
      </c>
      <c r="C6" s="6" t="s">
        <v>27</v>
      </c>
      <c r="D6" s="5">
        <v>36000</v>
      </c>
      <c r="I6" s="6" t="s">
        <v>43</v>
      </c>
      <c r="J6" s="6" t="s">
        <v>44</v>
      </c>
      <c r="K6" s="6" t="s">
        <v>45</v>
      </c>
      <c r="L6" s="5"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D7C8-BA6B-4458-8194-C84E324575B1}">
  <dimension ref="A1:K11"/>
  <sheetViews>
    <sheetView workbookViewId="0">
      <selection activeCell="K12" sqref="K12"/>
    </sheetView>
  </sheetViews>
  <sheetFormatPr defaultRowHeight="32.5" customHeight="1"/>
  <cols>
    <col min="10" max="10" width="21.36328125" customWidth="1"/>
    <col min="11" max="11" width="50" customWidth="1"/>
  </cols>
  <sheetData>
    <row r="1" spans="1:11" ht="32.5" customHeight="1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51</v>
      </c>
      <c r="J1" s="9" t="s">
        <v>19</v>
      </c>
      <c r="K1" s="9" t="s">
        <v>66</v>
      </c>
    </row>
    <row r="2" spans="1:11" ht="32.5" customHeight="1">
      <c r="A2" s="6" t="s">
        <v>26</v>
      </c>
      <c r="B2" s="5">
        <v>12000</v>
      </c>
      <c r="C2" s="5">
        <v>15000</v>
      </c>
      <c r="D2" s="5">
        <v>18000</v>
      </c>
      <c r="E2" s="5">
        <v>16000</v>
      </c>
      <c r="F2" s="5">
        <v>20000</v>
      </c>
      <c r="J2" s="7" t="s">
        <v>21</v>
      </c>
      <c r="K2" s="17" t="s">
        <v>53</v>
      </c>
    </row>
    <row r="3" spans="1:11" ht="32.5" customHeight="1">
      <c r="A3" s="6" t="s">
        <v>52</v>
      </c>
      <c r="B3" s="5">
        <v>3000</v>
      </c>
      <c r="C3" s="5">
        <v>4200</v>
      </c>
      <c r="D3" s="5">
        <v>5000</v>
      </c>
      <c r="E3" s="5">
        <v>4500</v>
      </c>
      <c r="F3" s="5">
        <v>6200</v>
      </c>
      <c r="J3" s="7" t="s">
        <v>65</v>
      </c>
      <c r="K3" s="18" t="s">
        <v>67</v>
      </c>
    </row>
    <row r="4" spans="1:11" ht="32.5" customHeight="1">
      <c r="J4" s="7" t="s">
        <v>54</v>
      </c>
      <c r="K4" s="18" t="s">
        <v>68</v>
      </c>
    </row>
    <row r="5" spans="1:11" ht="32.5" customHeight="1">
      <c r="J5" s="7" t="s">
        <v>25</v>
      </c>
      <c r="K5" s="18" t="s">
        <v>69</v>
      </c>
    </row>
    <row r="6" spans="1:11" ht="32.5" customHeight="1">
      <c r="A6" s="9" t="s">
        <v>46</v>
      </c>
      <c r="B6" s="9" t="s">
        <v>26</v>
      </c>
      <c r="E6" s="9" t="s">
        <v>46</v>
      </c>
      <c r="F6" s="9" t="s">
        <v>52</v>
      </c>
    </row>
    <row r="7" spans="1:11" ht="32.5" customHeight="1">
      <c r="A7" s="6" t="s">
        <v>49</v>
      </c>
      <c r="B7" s="6">
        <f>HLOOKUP(A7,$A$1:$F$3,2,0)</f>
        <v>18000</v>
      </c>
      <c r="E7" s="6" t="s">
        <v>48</v>
      </c>
      <c r="F7" s="6">
        <f>HLOOKUP(E7,$A$1:$F$3,3,0)</f>
        <v>4200</v>
      </c>
      <c r="J7" s="9" t="s">
        <v>19</v>
      </c>
      <c r="K7" s="9" t="s">
        <v>20</v>
      </c>
    </row>
    <row r="8" spans="1:11" ht="32.5" customHeight="1">
      <c r="A8" s="6" t="s">
        <v>51</v>
      </c>
      <c r="B8" s="6">
        <f>HLOOKUP(A8,$A$1:$F$3,2,0)</f>
        <v>20000</v>
      </c>
      <c r="E8" s="6" t="s">
        <v>50</v>
      </c>
      <c r="F8" s="6">
        <f>HLOOKUP(E8,$A$1:$F$3,3,0)</f>
        <v>4500</v>
      </c>
      <c r="J8" s="7" t="s">
        <v>21</v>
      </c>
      <c r="K8" s="17" t="s">
        <v>53</v>
      </c>
    </row>
    <row r="9" spans="1:11" ht="32.5" customHeight="1">
      <c r="J9" s="7" t="s">
        <v>65</v>
      </c>
      <c r="K9" s="18" t="s">
        <v>67</v>
      </c>
    </row>
    <row r="10" spans="1:11" ht="32.5" customHeight="1">
      <c r="J10" s="7" t="s">
        <v>54</v>
      </c>
      <c r="K10" s="18" t="s">
        <v>68</v>
      </c>
    </row>
    <row r="11" spans="1:11" ht="32.5" customHeight="1">
      <c r="J11" s="7" t="s">
        <v>25</v>
      </c>
      <c r="K11" s="1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DEAA-9E50-4449-8D64-8D3ACA5EFD52}">
  <dimension ref="A1:I10"/>
  <sheetViews>
    <sheetView workbookViewId="0">
      <selection activeCell="K9" sqref="K9"/>
    </sheetView>
  </sheetViews>
  <sheetFormatPr defaultColWidth="9.81640625" defaultRowHeight="19.5" customHeight="1"/>
  <sheetData>
    <row r="1" spans="1:9" ht="19.5" customHeight="1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H1" s="15" t="s">
        <v>46</v>
      </c>
      <c r="I1" s="15" t="s">
        <v>26</v>
      </c>
    </row>
    <row r="2" spans="1:9" ht="19.5" customHeight="1">
      <c r="A2" s="7" t="s">
        <v>26</v>
      </c>
      <c r="B2" s="7">
        <v>10000</v>
      </c>
      <c r="C2" s="7">
        <v>14000</v>
      </c>
      <c r="D2" s="7">
        <v>18000</v>
      </c>
      <c r="E2" s="7">
        <v>16000</v>
      </c>
      <c r="H2" s="6" t="s">
        <v>48</v>
      </c>
      <c r="I2" s="6">
        <f>HLOOKUP(H2,$A$1:$E$3,2,0)</f>
        <v>14000</v>
      </c>
    </row>
    <row r="3" spans="1:9" ht="19.5" customHeight="1">
      <c r="A3" s="7" t="s">
        <v>52</v>
      </c>
      <c r="B3" s="7">
        <v>2500</v>
      </c>
      <c r="C3" s="7">
        <v>3800</v>
      </c>
      <c r="D3" s="7">
        <v>5200</v>
      </c>
      <c r="E3" s="7">
        <v>4600</v>
      </c>
      <c r="H3" s="6" t="s">
        <v>50</v>
      </c>
      <c r="I3" s="6">
        <f>HLOOKUP(H3,$A$1:$E$3,2,0)</f>
        <v>16000</v>
      </c>
    </row>
    <row r="8" spans="1:9" ht="19.5" customHeight="1">
      <c r="A8" s="9" t="s">
        <v>58</v>
      </c>
      <c r="B8" s="9" t="s">
        <v>59</v>
      </c>
      <c r="C8" s="9" t="s">
        <v>60</v>
      </c>
      <c r="D8" s="9" t="s">
        <v>61</v>
      </c>
      <c r="E8" s="9" t="s">
        <v>62</v>
      </c>
      <c r="H8" s="15" t="s">
        <v>58</v>
      </c>
      <c r="I8" s="15" t="s">
        <v>64</v>
      </c>
    </row>
    <row r="9" spans="1:9" ht="19.5" customHeight="1">
      <c r="A9" s="7" t="s">
        <v>63</v>
      </c>
      <c r="B9" s="7">
        <v>2.5</v>
      </c>
      <c r="C9" s="7">
        <v>3.2</v>
      </c>
      <c r="D9" s="7">
        <v>3.8</v>
      </c>
      <c r="E9" s="7">
        <v>4.0999999999999996</v>
      </c>
      <c r="H9" s="6" t="s">
        <v>60</v>
      </c>
      <c r="I9" s="6">
        <f>HLOOKUP(H9,$A$8:$E$10,3,0)</f>
        <v>1.9</v>
      </c>
    </row>
    <row r="10" spans="1:9" ht="19.5" customHeight="1">
      <c r="A10" s="7" t="s">
        <v>64</v>
      </c>
      <c r="B10" s="7">
        <v>1.4</v>
      </c>
      <c r="C10" s="7">
        <v>1.9</v>
      </c>
      <c r="D10" s="7">
        <v>2.2999999999999998</v>
      </c>
      <c r="E10" s="7">
        <v>2.6</v>
      </c>
      <c r="H10" s="6" t="s">
        <v>62</v>
      </c>
      <c r="I10" s="6">
        <f>HLOOKUP(H10,$A$8:$E$10,3,0)</f>
        <v>2.6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414D-8DD5-4850-BD53-20A0DA08C3B8}">
  <dimension ref="A1:N13"/>
  <sheetViews>
    <sheetView zoomScaleNormal="100" workbookViewId="0">
      <selection activeCell="M12" sqref="M12"/>
    </sheetView>
  </sheetViews>
  <sheetFormatPr defaultColWidth="10.81640625" defaultRowHeight="27" customHeight="1"/>
  <cols>
    <col min="1" max="1" width="7.36328125" bestFit="1" customWidth="1"/>
    <col min="2" max="2" width="6.81640625" bestFit="1" customWidth="1"/>
    <col min="3" max="3" width="11.08984375" bestFit="1" customWidth="1"/>
    <col min="4" max="4" width="7.36328125" bestFit="1" customWidth="1"/>
    <col min="5" max="5" width="8.1796875" customWidth="1"/>
    <col min="6" max="6" width="5.7265625" customWidth="1"/>
    <col min="7" max="7" width="10.26953125" bestFit="1" customWidth="1"/>
    <col min="8" max="8" width="13.453125" bestFit="1" customWidth="1"/>
    <col min="9" max="9" width="10.36328125" bestFit="1" customWidth="1"/>
    <col min="10" max="10" width="10.26953125" bestFit="1" customWidth="1"/>
    <col min="11" max="11" width="5.36328125" bestFit="1" customWidth="1"/>
    <col min="12" max="12" width="5.6328125" customWidth="1"/>
    <col min="13" max="13" width="20.36328125" bestFit="1" customWidth="1"/>
    <col min="14" max="14" width="41.81640625" customWidth="1"/>
  </cols>
  <sheetData>
    <row r="1" spans="1:14" ht="27" customHeight="1">
      <c r="A1" s="9" t="s">
        <v>0</v>
      </c>
      <c r="B1" s="9" t="s">
        <v>1</v>
      </c>
      <c r="C1" s="9" t="s">
        <v>70</v>
      </c>
      <c r="D1" s="9" t="s">
        <v>3</v>
      </c>
      <c r="E1" s="9" t="s">
        <v>71</v>
      </c>
      <c r="G1" s="9" t="s">
        <v>28</v>
      </c>
      <c r="H1" s="9" t="s">
        <v>82</v>
      </c>
      <c r="I1" s="9" t="s">
        <v>30</v>
      </c>
      <c r="J1" s="9" t="s">
        <v>83</v>
      </c>
      <c r="K1" s="9" t="s">
        <v>31</v>
      </c>
      <c r="M1" s="9" t="s">
        <v>19</v>
      </c>
      <c r="N1" s="9" t="s">
        <v>66</v>
      </c>
    </row>
    <row r="2" spans="1:14" ht="27" customHeight="1">
      <c r="A2" s="7" t="s">
        <v>72</v>
      </c>
      <c r="B2" s="7" t="s">
        <v>73</v>
      </c>
      <c r="C2" s="7" t="s">
        <v>6</v>
      </c>
      <c r="D2" s="7">
        <v>28000</v>
      </c>
      <c r="E2" s="7">
        <v>4.2</v>
      </c>
      <c r="G2" s="7" t="s">
        <v>84</v>
      </c>
      <c r="H2" s="7" t="s">
        <v>85</v>
      </c>
      <c r="I2" s="7" t="s">
        <v>34</v>
      </c>
      <c r="J2" s="7">
        <v>120</v>
      </c>
      <c r="K2" s="7">
        <v>1500</v>
      </c>
      <c r="M2" s="6" t="s">
        <v>21</v>
      </c>
      <c r="N2" s="11" t="s">
        <v>99</v>
      </c>
    </row>
    <row r="3" spans="1:14" ht="27" customHeight="1">
      <c r="A3" s="7" t="s">
        <v>74</v>
      </c>
      <c r="B3" s="7" t="s">
        <v>75</v>
      </c>
      <c r="C3" s="7" t="s">
        <v>12</v>
      </c>
      <c r="D3" s="7">
        <v>42000</v>
      </c>
      <c r="E3" s="7">
        <v>4.5999999999999996</v>
      </c>
      <c r="G3" s="7" t="s">
        <v>86</v>
      </c>
      <c r="H3" s="7" t="s">
        <v>87</v>
      </c>
      <c r="I3" s="7" t="s">
        <v>88</v>
      </c>
      <c r="J3" s="7">
        <v>45</v>
      </c>
      <c r="K3" s="7">
        <v>4200</v>
      </c>
      <c r="M3" s="6" t="s">
        <v>95</v>
      </c>
      <c r="N3" s="11" t="s">
        <v>100</v>
      </c>
    </row>
    <row r="4" spans="1:14" ht="27" customHeight="1">
      <c r="A4" s="7" t="s">
        <v>76</v>
      </c>
      <c r="B4" s="7" t="s">
        <v>77</v>
      </c>
      <c r="C4" s="7" t="s">
        <v>9</v>
      </c>
      <c r="D4" s="7">
        <v>36000</v>
      </c>
      <c r="E4" s="7">
        <v>4.0999999999999996</v>
      </c>
      <c r="G4" s="7" t="s">
        <v>89</v>
      </c>
      <c r="H4" s="7" t="s">
        <v>90</v>
      </c>
      <c r="I4" s="7" t="s">
        <v>34</v>
      </c>
      <c r="J4" s="7">
        <v>200</v>
      </c>
      <c r="K4" s="7">
        <v>800</v>
      </c>
      <c r="M4" s="6" t="s">
        <v>96</v>
      </c>
      <c r="N4" s="11" t="s">
        <v>101</v>
      </c>
    </row>
    <row r="5" spans="1:14" ht="27" customHeight="1">
      <c r="A5" s="7" t="s">
        <v>78</v>
      </c>
      <c r="B5" s="7" t="s">
        <v>79</v>
      </c>
      <c r="C5" s="7" t="s">
        <v>15</v>
      </c>
      <c r="D5" s="7">
        <v>30000</v>
      </c>
      <c r="E5" s="7">
        <v>3.9</v>
      </c>
      <c r="G5" s="7" t="s">
        <v>91</v>
      </c>
      <c r="H5" s="7" t="s">
        <v>92</v>
      </c>
      <c r="I5" s="7" t="s">
        <v>88</v>
      </c>
      <c r="J5" s="7">
        <v>30</v>
      </c>
      <c r="K5" s="7">
        <v>7800</v>
      </c>
      <c r="M5" s="6" t="s">
        <v>97</v>
      </c>
      <c r="N5" s="11" t="s">
        <v>102</v>
      </c>
    </row>
    <row r="6" spans="1:14" ht="27" customHeight="1">
      <c r="A6" s="7" t="s">
        <v>80</v>
      </c>
      <c r="B6" s="7" t="s">
        <v>81</v>
      </c>
      <c r="C6" s="7" t="s">
        <v>18</v>
      </c>
      <c r="D6" s="7">
        <v>39000</v>
      </c>
      <c r="E6" s="7">
        <v>4.4000000000000004</v>
      </c>
      <c r="G6" s="7" t="s">
        <v>93</v>
      </c>
      <c r="H6" s="7" t="s">
        <v>94</v>
      </c>
      <c r="I6" s="7" t="s">
        <v>45</v>
      </c>
      <c r="J6" s="7">
        <v>75</v>
      </c>
      <c r="K6" s="7">
        <v>2600</v>
      </c>
      <c r="M6" s="6" t="s">
        <v>98</v>
      </c>
      <c r="N6" s="11" t="s">
        <v>103</v>
      </c>
    </row>
    <row r="8" spans="1:14" ht="27" customHeight="1">
      <c r="A8" s="9" t="s">
        <v>0</v>
      </c>
      <c r="B8" s="9" t="s">
        <v>3</v>
      </c>
      <c r="D8" s="9" t="s">
        <v>0</v>
      </c>
      <c r="E8" s="9" t="s">
        <v>70</v>
      </c>
      <c r="G8" s="9" t="s">
        <v>28</v>
      </c>
      <c r="H8" s="9" t="s">
        <v>31</v>
      </c>
      <c r="J8" s="9" t="s">
        <v>28</v>
      </c>
      <c r="K8" s="9" t="s">
        <v>83</v>
      </c>
      <c r="M8" s="9" t="s">
        <v>19</v>
      </c>
      <c r="N8" s="9" t="s">
        <v>66</v>
      </c>
    </row>
    <row r="9" spans="1:14" ht="27" customHeight="1">
      <c r="A9" s="7" t="s">
        <v>74</v>
      </c>
      <c r="B9" s="7">
        <f>_xlfn.XLOOKUP(A9,$A$1:$A$6,$D$1:$D$6)</f>
        <v>42000</v>
      </c>
      <c r="D9" s="7" t="s">
        <v>72</v>
      </c>
      <c r="E9" s="7" t="str">
        <f>_xlfn.XLOOKUP(D9,$A$1:$A$6,$C$1:$C$6)</f>
        <v>HR</v>
      </c>
      <c r="G9" s="7" t="s">
        <v>89</v>
      </c>
      <c r="H9" s="7">
        <f>_xlfn.XLOOKUP(G9,$G$1:$G$6,$K$1:$K$6)</f>
        <v>800</v>
      </c>
      <c r="J9" s="7" t="s">
        <v>84</v>
      </c>
      <c r="K9" s="7">
        <f>_xlfn.XLOOKUP(J9,$G$1:$G$6,$J$1:$J$6)</f>
        <v>120</v>
      </c>
      <c r="M9" s="6" t="s">
        <v>104</v>
      </c>
      <c r="N9" s="11" t="s">
        <v>106</v>
      </c>
    </row>
    <row r="10" spans="1:14" ht="27" customHeight="1">
      <c r="A10" s="7" t="s">
        <v>80</v>
      </c>
      <c r="B10" s="7">
        <f>_xlfn.XLOOKUP(A10,$A$1:$A$6,$D$1:$D$6)</f>
        <v>39000</v>
      </c>
      <c r="D10" s="7" t="s">
        <v>78</v>
      </c>
      <c r="E10" s="7" t="str">
        <f>_xlfn.XLOOKUP(D10,$A$1:$A$6,$C$1:$C$6)</f>
        <v>Marketing</v>
      </c>
      <c r="G10" s="7" t="s">
        <v>93</v>
      </c>
      <c r="H10" s="7">
        <f>_xlfn.XLOOKUP(G10,$G$1:$G$6,$K$1:$K$6)</f>
        <v>2600</v>
      </c>
      <c r="J10" s="7" t="s">
        <v>91</v>
      </c>
      <c r="K10" s="7">
        <f>_xlfn.XLOOKUP(J10,$G$1:$G$6,$J$1:$J$6)</f>
        <v>30</v>
      </c>
      <c r="M10" s="6" t="s">
        <v>105</v>
      </c>
      <c r="N10" s="11" t="s">
        <v>107</v>
      </c>
    </row>
    <row r="11" spans="1:14" ht="27" customHeight="1">
      <c r="M11" s="6" t="s">
        <v>97</v>
      </c>
      <c r="N11" s="11" t="s">
        <v>108</v>
      </c>
    </row>
    <row r="12" spans="1:14" ht="27" customHeight="1">
      <c r="M12" s="6" t="s">
        <v>98</v>
      </c>
      <c r="N12" s="11" t="s">
        <v>109</v>
      </c>
    </row>
    <row r="13" spans="1:14" ht="27" customHeight="1">
      <c r="M13" s="4"/>
      <c r="N13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648C-C632-4114-8A48-219FD6E20E62}">
  <dimension ref="A1:L10"/>
  <sheetViews>
    <sheetView workbookViewId="0">
      <selection activeCell="L9" sqref="L9:L10"/>
    </sheetView>
  </sheetViews>
  <sheetFormatPr defaultColWidth="14.453125" defaultRowHeight="26" customHeight="1"/>
  <cols>
    <col min="6" max="6" width="4.1796875" customWidth="1"/>
    <col min="7" max="7" width="3.6328125" customWidth="1"/>
  </cols>
  <sheetData>
    <row r="1" spans="1:12" ht="26" customHeight="1">
      <c r="A1" s="9" t="s">
        <v>0</v>
      </c>
      <c r="B1" s="9" t="s">
        <v>1</v>
      </c>
      <c r="C1" s="9" t="s">
        <v>70</v>
      </c>
      <c r="D1" s="9" t="s">
        <v>3</v>
      </c>
      <c r="E1" s="9" t="s">
        <v>71</v>
      </c>
      <c r="H1" s="9" t="s">
        <v>28</v>
      </c>
      <c r="I1" s="9" t="s">
        <v>82</v>
      </c>
      <c r="J1" s="9" t="s">
        <v>30</v>
      </c>
      <c r="K1" s="9" t="s">
        <v>83</v>
      </c>
      <c r="L1" s="9" t="s">
        <v>31</v>
      </c>
    </row>
    <row r="2" spans="1:12" ht="26" customHeight="1">
      <c r="A2" s="7" t="s">
        <v>110</v>
      </c>
      <c r="B2" s="7" t="s">
        <v>111</v>
      </c>
      <c r="C2" s="7" t="s">
        <v>6</v>
      </c>
      <c r="D2" s="7">
        <v>26000</v>
      </c>
      <c r="E2" s="7">
        <v>4</v>
      </c>
      <c r="H2" s="7" t="s">
        <v>120</v>
      </c>
      <c r="I2" s="7" t="s">
        <v>121</v>
      </c>
      <c r="J2" s="7" t="s">
        <v>34</v>
      </c>
      <c r="K2" s="7">
        <v>60</v>
      </c>
      <c r="L2" s="7">
        <v>12000</v>
      </c>
    </row>
    <row r="3" spans="1:12" ht="26" customHeight="1">
      <c r="A3" s="7" t="s">
        <v>112</v>
      </c>
      <c r="B3" s="7" t="s">
        <v>113</v>
      </c>
      <c r="C3" s="7" t="s">
        <v>12</v>
      </c>
      <c r="D3" s="7">
        <v>48000</v>
      </c>
      <c r="E3" s="7">
        <v>4.7</v>
      </c>
      <c r="H3" s="7" t="s">
        <v>122</v>
      </c>
      <c r="I3" s="7" t="s">
        <v>123</v>
      </c>
      <c r="J3" s="7" t="s">
        <v>88</v>
      </c>
      <c r="K3" s="7">
        <v>25</v>
      </c>
      <c r="L3" s="7">
        <v>9500</v>
      </c>
    </row>
    <row r="4" spans="1:12" ht="26" customHeight="1">
      <c r="A4" s="7" t="s">
        <v>114</v>
      </c>
      <c r="B4" s="7" t="s">
        <v>115</v>
      </c>
      <c r="C4" s="7" t="s">
        <v>9</v>
      </c>
      <c r="D4" s="7">
        <v>34000</v>
      </c>
      <c r="E4" s="7">
        <v>4.0999999999999996</v>
      </c>
      <c r="H4" s="7" t="s">
        <v>124</v>
      </c>
      <c r="I4" s="7" t="s">
        <v>125</v>
      </c>
      <c r="J4" s="7" t="s">
        <v>34</v>
      </c>
      <c r="K4" s="7">
        <v>150</v>
      </c>
      <c r="L4" s="7">
        <v>2200</v>
      </c>
    </row>
    <row r="5" spans="1:12" ht="26" customHeight="1">
      <c r="A5" s="7" t="s">
        <v>116</v>
      </c>
      <c r="B5" s="7" t="s">
        <v>117</v>
      </c>
      <c r="C5" s="7" t="s">
        <v>15</v>
      </c>
      <c r="D5" s="7">
        <v>31000</v>
      </c>
      <c r="E5" s="7">
        <v>3.8</v>
      </c>
      <c r="H5" s="7" t="s">
        <v>126</v>
      </c>
      <c r="I5" s="7" t="s">
        <v>127</v>
      </c>
      <c r="J5" s="7" t="s">
        <v>45</v>
      </c>
      <c r="K5" s="7">
        <v>90</v>
      </c>
      <c r="L5" s="7">
        <v>1800</v>
      </c>
    </row>
    <row r="6" spans="1:12" ht="26" customHeight="1">
      <c r="A6" s="7" t="s">
        <v>118</v>
      </c>
      <c r="B6" s="7" t="s">
        <v>119</v>
      </c>
      <c r="C6" s="7" t="s">
        <v>18</v>
      </c>
      <c r="D6" s="7">
        <v>40000</v>
      </c>
      <c r="E6" s="7">
        <v>4.5</v>
      </c>
      <c r="H6" s="7" t="s">
        <v>128</v>
      </c>
      <c r="I6" s="7" t="s">
        <v>129</v>
      </c>
      <c r="J6" s="7" t="s">
        <v>34</v>
      </c>
      <c r="K6" s="7">
        <v>40</v>
      </c>
      <c r="L6" s="7">
        <v>3500</v>
      </c>
    </row>
    <row r="8" spans="1:12" ht="26" customHeight="1">
      <c r="A8" s="9" t="s">
        <v>0</v>
      </c>
      <c r="B8" s="9" t="s">
        <v>3</v>
      </c>
      <c r="D8" s="9" t="s">
        <v>0</v>
      </c>
      <c r="E8" s="9" t="s">
        <v>70</v>
      </c>
      <c r="H8" s="9" t="s">
        <v>28</v>
      </c>
      <c r="I8" s="9" t="s">
        <v>31</v>
      </c>
      <c r="K8" s="9" t="s">
        <v>28</v>
      </c>
      <c r="L8" s="9" t="s">
        <v>83</v>
      </c>
    </row>
    <row r="9" spans="1:12" ht="26" customHeight="1">
      <c r="A9" s="7" t="s">
        <v>112</v>
      </c>
      <c r="B9" s="7">
        <f>_xlfn.XLOOKUP(A9,$A$2:$A$6,$D$2:$D$6)</f>
        <v>48000</v>
      </c>
      <c r="D9" s="7" t="s">
        <v>110</v>
      </c>
      <c r="E9" s="7" t="str">
        <f>_xlfn.XLOOKUP(D9,$A$2:$A$6,$C$2:$C$6)</f>
        <v>HR</v>
      </c>
      <c r="H9" s="7" t="s">
        <v>124</v>
      </c>
      <c r="I9" s="7">
        <f>_xlfn.XLOOKUP(H9,$H$2:$H$6,$L$2:$L$6)</f>
        <v>2200</v>
      </c>
      <c r="K9" s="7" t="s">
        <v>120</v>
      </c>
      <c r="L9" s="7">
        <f>_xlfn.XLOOKUP(K9,$H$2:$H$6,$K$2:$K$6)</f>
        <v>60</v>
      </c>
    </row>
    <row r="10" spans="1:12" ht="26" customHeight="1">
      <c r="A10" s="7" t="s">
        <v>118</v>
      </c>
      <c r="B10" s="7">
        <f>_xlfn.XLOOKUP(A10,$A$2:$A$6,$D$2:$D$6)</f>
        <v>40000</v>
      </c>
      <c r="D10" s="7" t="s">
        <v>116</v>
      </c>
      <c r="E10" s="7" t="str">
        <f>_xlfn.XLOOKUP(D10,$A$2:$A$6,$C$2:$C$6)</f>
        <v>Marketing</v>
      </c>
      <c r="H10" s="7" t="s">
        <v>128</v>
      </c>
      <c r="I10" s="7">
        <f>_xlfn.XLOOKUP(H10,$H$2:$H$6,$L$2:$L$6)</f>
        <v>3500</v>
      </c>
      <c r="K10" s="7" t="s">
        <v>126</v>
      </c>
      <c r="L10" s="7">
        <f>_xlfn.XLOOKUP(K10,$H$2:$H$6,$K$2:$K$6)</f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A006-156A-444C-8BB2-A0D5CAADA44D}">
  <dimension ref="A1:P11"/>
  <sheetViews>
    <sheetView workbookViewId="0">
      <selection activeCell="P6" sqref="P6"/>
    </sheetView>
  </sheetViews>
  <sheetFormatPr defaultColWidth="9.453125" defaultRowHeight="31" customHeight="1"/>
  <cols>
    <col min="1" max="1" width="7.36328125" bestFit="1" customWidth="1"/>
    <col min="2" max="2" width="6.7265625" bestFit="1" customWidth="1"/>
    <col min="3" max="3" width="11.08984375" customWidth="1"/>
    <col min="4" max="4" width="5.81640625" bestFit="1" customWidth="1"/>
    <col min="5" max="5" width="5" customWidth="1"/>
    <col min="6" max="6" width="7.36328125" bestFit="1" customWidth="1"/>
    <col min="7" max="7" width="8.54296875" customWidth="1"/>
    <col min="8" max="8" width="5.6328125" customWidth="1"/>
    <col min="9" max="9" width="7.36328125" bestFit="1" customWidth="1"/>
    <col min="10" max="10" width="11.54296875" customWidth="1"/>
    <col min="11" max="11" width="5.6328125" customWidth="1"/>
    <col min="12" max="12" width="7.36328125" bestFit="1" customWidth="1"/>
    <col min="13" max="13" width="8.6328125" customWidth="1"/>
    <col min="14" max="14" width="4.1796875" customWidth="1"/>
    <col min="15" max="15" width="14.26953125" bestFit="1" customWidth="1"/>
    <col min="16" max="16" width="51.54296875" customWidth="1"/>
  </cols>
  <sheetData>
    <row r="1" spans="1:16" ht="31" customHeight="1">
      <c r="A1" s="8" t="s">
        <v>0</v>
      </c>
      <c r="B1" s="8" t="s">
        <v>1</v>
      </c>
      <c r="C1" s="8" t="s">
        <v>70</v>
      </c>
      <c r="D1" s="13" t="s">
        <v>3</v>
      </c>
      <c r="F1" s="9" t="s">
        <v>0</v>
      </c>
      <c r="G1" s="9" t="s">
        <v>3</v>
      </c>
      <c r="I1" s="9" t="s">
        <v>0</v>
      </c>
      <c r="J1" s="9" t="s">
        <v>70</v>
      </c>
      <c r="L1" s="9" t="s">
        <v>0</v>
      </c>
      <c r="M1" s="9" t="s">
        <v>1</v>
      </c>
      <c r="O1" s="9" t="s">
        <v>19</v>
      </c>
      <c r="P1" s="9" t="s">
        <v>139</v>
      </c>
    </row>
    <row r="2" spans="1:16" ht="31" customHeight="1">
      <c r="A2" s="6" t="s">
        <v>130</v>
      </c>
      <c r="B2" s="6" t="s">
        <v>131</v>
      </c>
      <c r="C2" s="6" t="s">
        <v>6</v>
      </c>
      <c r="D2" s="5">
        <v>27000</v>
      </c>
      <c r="F2" s="6" t="s">
        <v>135</v>
      </c>
      <c r="G2" s="6">
        <f>INDEX($D$2:$D$6,MATCH(F2,$A$2:$A$6,0))</f>
        <v>32000</v>
      </c>
      <c r="I2" s="6" t="s">
        <v>132</v>
      </c>
      <c r="J2" s="6" t="str">
        <f>INDEX($C$2:$C$6,MATCH(I2,$A$2:$A$6,0))</f>
        <v>IT</v>
      </c>
      <c r="L2" s="6" t="s">
        <v>134</v>
      </c>
      <c r="M2" s="6" t="str">
        <f>INDEX($B$2:$B$6,MATCH(L2,$A$2:$A$6,0))</f>
        <v>Chetan</v>
      </c>
      <c r="O2" s="6" t="s">
        <v>140</v>
      </c>
      <c r="P2" s="11" t="s">
        <v>143</v>
      </c>
    </row>
    <row r="3" spans="1:16" ht="31" customHeight="1">
      <c r="A3" s="6" t="s">
        <v>132</v>
      </c>
      <c r="B3" s="6" t="s">
        <v>133</v>
      </c>
      <c r="C3" s="6" t="s">
        <v>12</v>
      </c>
      <c r="D3" s="5">
        <v>45000</v>
      </c>
      <c r="F3" s="6" t="s">
        <v>130</v>
      </c>
      <c r="G3" s="6">
        <f t="shared" ref="G3:G6" si="0">INDEX($D$2:$D$6,MATCH(F3,$A$2:$A$6,0))</f>
        <v>27000</v>
      </c>
      <c r="I3" s="6" t="s">
        <v>137</v>
      </c>
      <c r="J3" s="6" t="str">
        <f t="shared" ref="J3:J6" si="1">INDEX($C$2:$C$6,MATCH(I3,$A$2:$A$6,0))</f>
        <v>Operations</v>
      </c>
      <c r="L3" s="6" t="s">
        <v>135</v>
      </c>
      <c r="M3" s="6" t="str">
        <f t="shared" ref="M3:M6" si="2">INDEX($B$2:$B$6,MATCH(L3,$A$2:$A$6,0))</f>
        <v>Diya</v>
      </c>
      <c r="O3" s="6" t="s">
        <v>141</v>
      </c>
      <c r="P3" s="11" t="s">
        <v>144</v>
      </c>
    </row>
    <row r="4" spans="1:16" ht="31" customHeight="1">
      <c r="A4" s="6" t="s">
        <v>134</v>
      </c>
      <c r="B4" s="6" t="s">
        <v>115</v>
      </c>
      <c r="C4" s="6" t="s">
        <v>9</v>
      </c>
      <c r="D4" s="5">
        <v>35000</v>
      </c>
      <c r="F4" s="6" t="s">
        <v>137</v>
      </c>
      <c r="G4" s="6">
        <f t="shared" si="0"/>
        <v>39000</v>
      </c>
      <c r="I4" s="6" t="s">
        <v>130</v>
      </c>
      <c r="J4" s="6" t="str">
        <f t="shared" si="1"/>
        <v>HR</v>
      </c>
      <c r="L4" s="6" t="s">
        <v>132</v>
      </c>
      <c r="M4" s="6" t="str">
        <f t="shared" si="2"/>
        <v>Bina</v>
      </c>
      <c r="O4" s="16" t="s">
        <v>142</v>
      </c>
      <c r="P4" s="11" t="s">
        <v>145</v>
      </c>
    </row>
    <row r="5" spans="1:16" ht="31" customHeight="1">
      <c r="A5" s="6" t="s">
        <v>135</v>
      </c>
      <c r="B5" s="6" t="s">
        <v>136</v>
      </c>
      <c r="C5" s="6" t="s">
        <v>15</v>
      </c>
      <c r="D5" s="5">
        <v>32000</v>
      </c>
      <c r="F5" s="6" t="s">
        <v>132</v>
      </c>
      <c r="G5" s="6">
        <f t="shared" si="0"/>
        <v>45000</v>
      </c>
      <c r="I5" s="6" t="s">
        <v>134</v>
      </c>
      <c r="J5" s="6" t="str">
        <f t="shared" si="1"/>
        <v>Finance</v>
      </c>
      <c r="L5" s="6" t="s">
        <v>130</v>
      </c>
      <c r="M5" s="6" t="str">
        <f t="shared" si="2"/>
        <v>Arun</v>
      </c>
      <c r="P5" s="2"/>
    </row>
    <row r="6" spans="1:16" ht="31" customHeight="1">
      <c r="A6" s="6" t="s">
        <v>137</v>
      </c>
      <c r="B6" s="6" t="s">
        <v>138</v>
      </c>
      <c r="C6" s="6" t="s">
        <v>18</v>
      </c>
      <c r="D6" s="5">
        <v>39000</v>
      </c>
      <c r="F6" s="6" t="s">
        <v>134</v>
      </c>
      <c r="G6" s="6">
        <f t="shared" si="0"/>
        <v>35000</v>
      </c>
      <c r="I6" s="6" t="s">
        <v>135</v>
      </c>
      <c r="J6" s="6" t="str">
        <f t="shared" si="1"/>
        <v>Marketing</v>
      </c>
      <c r="L6" s="6" t="s">
        <v>137</v>
      </c>
      <c r="M6" s="6" t="str">
        <f t="shared" si="2"/>
        <v>Farooq</v>
      </c>
      <c r="O6" s="2"/>
      <c r="P6" s="3"/>
    </row>
    <row r="7" spans="1:16" ht="31" customHeight="1">
      <c r="O7" s="3"/>
      <c r="P7" s="3"/>
    </row>
    <row r="8" spans="1:16" ht="31" customHeight="1">
      <c r="O8" s="3"/>
      <c r="P8" s="3"/>
    </row>
    <row r="9" spans="1:16" ht="31" customHeight="1">
      <c r="O9" s="3"/>
      <c r="P9" s="3"/>
    </row>
    <row r="10" spans="1:16" ht="31" customHeight="1">
      <c r="O10" s="3"/>
      <c r="P10" s="3"/>
    </row>
    <row r="11" spans="1:16" ht="31" customHeight="1">
      <c r="O1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362B-6E87-4173-BA02-BC02CDE57F9C}">
  <dimension ref="A1:M13"/>
  <sheetViews>
    <sheetView workbookViewId="0">
      <selection activeCell="J9" sqref="J9:J13"/>
    </sheetView>
  </sheetViews>
  <sheetFormatPr defaultRowHeight="20" customHeight="1"/>
  <cols>
    <col min="1" max="1" width="11.90625" customWidth="1"/>
    <col min="2" max="2" width="15.1796875" customWidth="1"/>
    <col min="3" max="3" width="11.1796875" customWidth="1"/>
    <col min="6" max="6" width="11.1796875" customWidth="1"/>
    <col min="9" max="9" width="11.453125" customWidth="1"/>
    <col min="10" max="10" width="11.90625" customWidth="1"/>
    <col min="12" max="12" width="10.36328125" customWidth="1"/>
  </cols>
  <sheetData>
    <row r="1" spans="1:13" ht="20" customHeight="1">
      <c r="A1" s="9" t="s">
        <v>0</v>
      </c>
      <c r="B1" s="9" t="s">
        <v>1</v>
      </c>
      <c r="C1" s="9" t="s">
        <v>70</v>
      </c>
      <c r="D1" s="9" t="s">
        <v>3</v>
      </c>
      <c r="E1" s="21"/>
      <c r="F1" s="9" t="s">
        <v>0</v>
      </c>
      <c r="G1" s="9" t="s">
        <v>3</v>
      </c>
      <c r="I1" s="9" t="s">
        <v>0</v>
      </c>
      <c r="J1" s="9" t="s">
        <v>70</v>
      </c>
      <c r="L1" s="9" t="s">
        <v>0</v>
      </c>
      <c r="M1" s="9" t="s">
        <v>1</v>
      </c>
    </row>
    <row r="2" spans="1:13" ht="20" customHeight="1">
      <c r="A2" s="7" t="s">
        <v>146</v>
      </c>
      <c r="B2" s="7" t="s">
        <v>147</v>
      </c>
      <c r="C2" s="7" t="s">
        <v>6</v>
      </c>
      <c r="D2" s="7">
        <v>26000</v>
      </c>
      <c r="E2" s="21"/>
      <c r="F2" s="7" t="s">
        <v>152</v>
      </c>
      <c r="G2" s="6">
        <f>INDEX($D$2:$D$6,MATCH(F2,$A$2:$A$6,0))</f>
        <v>31000</v>
      </c>
      <c r="I2" s="7" t="s">
        <v>150</v>
      </c>
      <c r="J2" s="6" t="str">
        <f>INDEX($C$2:$C$6,MATCH(I2,$A$2:$A$6,0))</f>
        <v>Finance</v>
      </c>
      <c r="L2" s="7" t="s">
        <v>148</v>
      </c>
      <c r="M2" s="6" t="str">
        <f>INDEX($B$2:$B$6,MATCH(L2,$A$2:$A$6,0))</f>
        <v>Bhuvan</v>
      </c>
    </row>
    <row r="3" spans="1:13" ht="20" customHeight="1">
      <c r="A3" s="7" t="s">
        <v>148</v>
      </c>
      <c r="B3" s="7" t="s">
        <v>149</v>
      </c>
      <c r="C3" s="7" t="s">
        <v>12</v>
      </c>
      <c r="D3" s="7">
        <v>48000</v>
      </c>
      <c r="E3" s="21"/>
      <c r="F3" s="7" t="s">
        <v>146</v>
      </c>
      <c r="G3" s="6">
        <f t="shared" ref="G3:G6" si="0">INDEX($D$2:$D$6,MATCH(F3,$A$2:$A$6,0))</f>
        <v>26000</v>
      </c>
      <c r="I3" s="7" t="s">
        <v>154</v>
      </c>
      <c r="J3" s="6" t="str">
        <f t="shared" ref="J3:J6" si="1">INDEX($C$2:$C$6,MATCH(I3,$A$2:$A$6,0))</f>
        <v>Operations</v>
      </c>
      <c r="L3" s="7" t="s">
        <v>152</v>
      </c>
      <c r="M3" s="6" t="str">
        <f t="shared" ref="M3:M6" si="2">INDEX($B$2:$B$6,MATCH(L3,$A$2:$A$6,0))</f>
        <v>Deepak</v>
      </c>
    </row>
    <row r="4" spans="1:13" ht="20" customHeight="1">
      <c r="A4" s="7" t="s">
        <v>150</v>
      </c>
      <c r="B4" s="7" t="s">
        <v>151</v>
      </c>
      <c r="C4" s="7" t="s">
        <v>9</v>
      </c>
      <c r="D4" s="7">
        <v>34000</v>
      </c>
      <c r="E4" s="21"/>
      <c r="F4" s="7" t="s">
        <v>154</v>
      </c>
      <c r="G4" s="6">
        <f t="shared" si="0"/>
        <v>40000</v>
      </c>
      <c r="I4" s="7" t="s">
        <v>146</v>
      </c>
      <c r="J4" s="6" t="str">
        <f t="shared" si="1"/>
        <v>HR</v>
      </c>
      <c r="L4" s="7" t="s">
        <v>146</v>
      </c>
      <c r="M4" s="6" t="str">
        <f t="shared" si="2"/>
        <v>Ajay</v>
      </c>
    </row>
    <row r="5" spans="1:13" ht="20" customHeight="1">
      <c r="A5" s="7" t="s">
        <v>152</v>
      </c>
      <c r="B5" s="7" t="s">
        <v>153</v>
      </c>
      <c r="C5" s="7" t="s">
        <v>15</v>
      </c>
      <c r="D5" s="7">
        <v>31000</v>
      </c>
      <c r="E5" s="21"/>
      <c r="F5" s="7" t="s">
        <v>148</v>
      </c>
      <c r="G5" s="6">
        <f t="shared" si="0"/>
        <v>48000</v>
      </c>
      <c r="I5" s="7" t="s">
        <v>152</v>
      </c>
      <c r="J5" s="6" t="str">
        <f t="shared" si="1"/>
        <v>Marketing</v>
      </c>
      <c r="L5" s="7" t="s">
        <v>154</v>
      </c>
      <c r="M5" s="6" t="str">
        <f t="shared" si="2"/>
        <v>Farah</v>
      </c>
    </row>
    <row r="6" spans="1:13" ht="20" customHeight="1">
      <c r="A6" s="7" t="s">
        <v>154</v>
      </c>
      <c r="B6" s="7" t="s">
        <v>119</v>
      </c>
      <c r="C6" s="7" t="s">
        <v>18</v>
      </c>
      <c r="D6" s="7">
        <v>40000</v>
      </c>
      <c r="E6" s="21"/>
      <c r="F6" s="7" t="s">
        <v>150</v>
      </c>
      <c r="G6" s="6">
        <f t="shared" si="0"/>
        <v>34000</v>
      </c>
      <c r="I6" s="7" t="s">
        <v>148</v>
      </c>
      <c r="J6" s="6" t="str">
        <f t="shared" si="1"/>
        <v>IT</v>
      </c>
      <c r="L6" s="7" t="s">
        <v>150</v>
      </c>
      <c r="M6" s="6" t="str">
        <f t="shared" si="2"/>
        <v>Chitra</v>
      </c>
    </row>
    <row r="8" spans="1:13" ht="20" customHeight="1">
      <c r="A8" s="9" t="s">
        <v>28</v>
      </c>
      <c r="B8" s="9" t="s">
        <v>82</v>
      </c>
      <c r="C8" s="9" t="s">
        <v>30</v>
      </c>
      <c r="D8" s="9" t="s">
        <v>31</v>
      </c>
      <c r="F8" s="9" t="s">
        <v>28</v>
      </c>
      <c r="G8" s="9" t="s">
        <v>31</v>
      </c>
      <c r="I8" s="9" t="s">
        <v>28</v>
      </c>
      <c r="J8" s="9" t="s">
        <v>30</v>
      </c>
    </row>
    <row r="9" spans="1:13" ht="20" customHeight="1">
      <c r="A9" s="7" t="s">
        <v>155</v>
      </c>
      <c r="B9" s="7" t="s">
        <v>39</v>
      </c>
      <c r="C9" s="7" t="s">
        <v>34</v>
      </c>
      <c r="D9" s="7">
        <v>62000</v>
      </c>
      <c r="F9" s="7" t="s">
        <v>158</v>
      </c>
      <c r="G9" s="6">
        <f>INDEX($D$9:$D$13,MATCH(F9,$A$9:$A$13,0))</f>
        <v>7800</v>
      </c>
      <c r="I9" s="7" t="s">
        <v>157</v>
      </c>
      <c r="J9" s="6" t="str">
        <f>INDEX($C$9:$C$13,MATCH(I9,$A$9:$A$13,0))</f>
        <v>Electronics</v>
      </c>
    </row>
    <row r="10" spans="1:13" ht="20" customHeight="1">
      <c r="A10" s="7" t="s">
        <v>156</v>
      </c>
      <c r="B10" s="7" t="s">
        <v>87</v>
      </c>
      <c r="C10" s="7" t="s">
        <v>88</v>
      </c>
      <c r="D10" s="7">
        <v>4200</v>
      </c>
      <c r="F10" s="7" t="s">
        <v>155</v>
      </c>
      <c r="G10" s="6">
        <f t="shared" ref="G10:G13" si="3">INDEX($D$9:$D$13,MATCH(F10,$A$9:$A$13,0))</f>
        <v>62000</v>
      </c>
      <c r="I10" s="7" t="s">
        <v>159</v>
      </c>
      <c r="J10" s="6" t="str">
        <f t="shared" ref="J10:J13" si="4">INDEX($C$9:$C$13,MATCH(I10,$A$9:$A$13,0))</f>
        <v>Accessories</v>
      </c>
    </row>
    <row r="11" spans="1:13" ht="20" customHeight="1">
      <c r="A11" s="7" t="s">
        <v>157</v>
      </c>
      <c r="B11" s="7" t="s">
        <v>90</v>
      </c>
      <c r="C11" s="7" t="s">
        <v>34</v>
      </c>
      <c r="D11" s="7">
        <v>800</v>
      </c>
      <c r="F11" s="7" t="s">
        <v>159</v>
      </c>
      <c r="G11" s="6">
        <f t="shared" si="3"/>
        <v>2600</v>
      </c>
      <c r="I11" s="7" t="s">
        <v>155</v>
      </c>
      <c r="J11" s="6" t="str">
        <f t="shared" si="4"/>
        <v>Electronics</v>
      </c>
    </row>
    <row r="12" spans="1:13" ht="20" customHeight="1">
      <c r="A12" s="7" t="s">
        <v>158</v>
      </c>
      <c r="B12" s="7" t="s">
        <v>92</v>
      </c>
      <c r="C12" s="7" t="s">
        <v>88</v>
      </c>
      <c r="D12" s="7">
        <v>7800</v>
      </c>
      <c r="F12" s="7" t="s">
        <v>156</v>
      </c>
      <c r="G12" s="6">
        <f t="shared" si="3"/>
        <v>4200</v>
      </c>
      <c r="I12" s="7" t="s">
        <v>158</v>
      </c>
      <c r="J12" s="6" t="str">
        <f t="shared" si="4"/>
        <v>Furniture</v>
      </c>
    </row>
    <row r="13" spans="1:13" ht="20" customHeight="1">
      <c r="A13" s="7" t="s">
        <v>159</v>
      </c>
      <c r="B13" s="7" t="s">
        <v>94</v>
      </c>
      <c r="C13" s="7" t="s">
        <v>45</v>
      </c>
      <c r="D13" s="7">
        <v>2600</v>
      </c>
      <c r="F13" s="7" t="s">
        <v>157</v>
      </c>
      <c r="G13" s="6">
        <f t="shared" si="3"/>
        <v>800</v>
      </c>
      <c r="I13" s="7" t="s">
        <v>156</v>
      </c>
      <c r="J13" s="6" t="str">
        <f t="shared" si="4"/>
        <v>Furniture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096B-349F-4EB6-B95A-DF9A7A7FD8F0}">
  <dimension ref="A1:I13"/>
  <sheetViews>
    <sheetView workbookViewId="0">
      <selection activeCell="C9" sqref="C9"/>
    </sheetView>
  </sheetViews>
  <sheetFormatPr defaultRowHeight="24" customHeight="1"/>
  <cols>
    <col min="8" max="8" width="16.26953125" customWidth="1"/>
    <col min="9" max="9" width="80.6328125" bestFit="1" customWidth="1"/>
  </cols>
  <sheetData>
    <row r="1" spans="1:9" ht="24" customHeight="1">
      <c r="A1" s="9" t="s">
        <v>0</v>
      </c>
      <c r="B1" s="9" t="s">
        <v>47</v>
      </c>
      <c r="C1" s="9" t="s">
        <v>48</v>
      </c>
      <c r="D1" s="9" t="s">
        <v>49</v>
      </c>
      <c r="E1" s="9" t="s">
        <v>50</v>
      </c>
      <c r="H1" s="15" t="s">
        <v>19</v>
      </c>
      <c r="I1" s="15" t="s">
        <v>139</v>
      </c>
    </row>
    <row r="2" spans="1:9" ht="24" customHeight="1">
      <c r="A2" s="7" t="s">
        <v>160</v>
      </c>
      <c r="B2" s="7">
        <v>25000</v>
      </c>
      <c r="C2" s="7">
        <v>26000</v>
      </c>
      <c r="D2" s="7">
        <v>27000</v>
      </c>
      <c r="E2" s="7">
        <v>28000</v>
      </c>
      <c r="H2" s="6" t="s">
        <v>165</v>
      </c>
      <c r="I2" s="11" t="s">
        <v>168</v>
      </c>
    </row>
    <row r="3" spans="1:9" ht="24" customHeight="1">
      <c r="A3" s="7" t="s">
        <v>161</v>
      </c>
      <c r="B3" s="7">
        <v>30000</v>
      </c>
      <c r="C3" s="7">
        <v>31000</v>
      </c>
      <c r="D3" s="7">
        <v>32000</v>
      </c>
      <c r="E3" s="7">
        <v>33000</v>
      </c>
      <c r="H3" s="6" t="s">
        <v>166</v>
      </c>
      <c r="I3" s="11" t="s">
        <v>169</v>
      </c>
    </row>
    <row r="4" spans="1:9" ht="24" customHeight="1">
      <c r="A4" s="7" t="s">
        <v>162</v>
      </c>
      <c r="B4" s="7">
        <v>28000</v>
      </c>
      <c r="C4" s="7">
        <v>29000</v>
      </c>
      <c r="D4" s="7">
        <v>30000</v>
      </c>
      <c r="E4" s="7">
        <v>31000</v>
      </c>
      <c r="H4" s="6" t="s">
        <v>141</v>
      </c>
      <c r="I4" s="11" t="s">
        <v>170</v>
      </c>
    </row>
    <row r="5" spans="1:9" ht="24" customHeight="1">
      <c r="A5" s="7" t="s">
        <v>163</v>
      </c>
      <c r="B5" s="7">
        <v>35000</v>
      </c>
      <c r="C5" s="7">
        <v>36000</v>
      </c>
      <c r="D5" s="7">
        <v>37000</v>
      </c>
      <c r="E5" s="7">
        <v>38000</v>
      </c>
      <c r="H5" s="16" t="s">
        <v>167</v>
      </c>
      <c r="I5" s="11" t="s">
        <v>171</v>
      </c>
    </row>
    <row r="6" spans="1:9" ht="24" customHeight="1">
      <c r="A6" s="7" t="s">
        <v>164</v>
      </c>
      <c r="B6" s="7">
        <v>40000</v>
      </c>
      <c r="C6" s="7">
        <v>41000</v>
      </c>
      <c r="D6" s="7">
        <v>42000</v>
      </c>
      <c r="E6" s="7">
        <v>43000</v>
      </c>
    </row>
    <row r="8" spans="1:9" ht="24" customHeight="1">
      <c r="A8" s="9" t="s">
        <v>0</v>
      </c>
      <c r="B8" s="9" t="s">
        <v>46</v>
      </c>
      <c r="C8" s="9" t="s">
        <v>3</v>
      </c>
    </row>
    <row r="9" spans="1:9" ht="24" customHeight="1">
      <c r="A9" s="7" t="s">
        <v>161</v>
      </c>
      <c r="B9" s="7" t="s">
        <v>49</v>
      </c>
      <c r="C9" s="7">
        <f>INDEX($B$2:$E$6,MATCH(A9,$A$2:$A$6,0),MATCH(B9,$B$1:$E$1,0))</f>
        <v>32000</v>
      </c>
    </row>
    <row r="10" spans="1:9" ht="24" customHeight="1">
      <c r="A10" s="7" t="s">
        <v>164</v>
      </c>
      <c r="B10" s="7" t="s">
        <v>48</v>
      </c>
      <c r="C10" s="7">
        <f t="shared" ref="C10:C13" si="0">INDEX($B$2:$E$6,MATCH(A10,$A$2:$A$6,0),MATCH(B10,$B$1:$E$1,0))</f>
        <v>41000</v>
      </c>
    </row>
    <row r="11" spans="1:9" ht="24" customHeight="1">
      <c r="A11" s="7" t="s">
        <v>160</v>
      </c>
      <c r="B11" s="7" t="s">
        <v>50</v>
      </c>
      <c r="C11" s="7">
        <f t="shared" si="0"/>
        <v>28000</v>
      </c>
    </row>
    <row r="12" spans="1:9" ht="24" customHeight="1">
      <c r="A12" s="1" t="s">
        <v>163</v>
      </c>
      <c r="B12" s="1" t="s">
        <v>47</v>
      </c>
      <c r="C12" s="7">
        <f t="shared" si="0"/>
        <v>35000</v>
      </c>
    </row>
    <row r="13" spans="1:9" ht="24" customHeight="1">
      <c r="A13" s="1" t="s">
        <v>162</v>
      </c>
      <c r="B13" s="1" t="s">
        <v>50</v>
      </c>
      <c r="C13" s="7">
        <f t="shared" si="0"/>
        <v>31000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EA50-C93E-4BFE-92E9-ACF026717543}">
  <dimension ref="A1:Q13"/>
  <sheetViews>
    <sheetView tabSelected="1" workbookViewId="0">
      <selection activeCell="M10" sqref="M10"/>
    </sheetView>
  </sheetViews>
  <sheetFormatPr defaultRowHeight="20" customHeight="1"/>
  <cols>
    <col min="5" max="5" width="11.26953125" customWidth="1"/>
    <col min="8" max="8" width="12" customWidth="1"/>
    <col min="9" max="9" width="10.08984375" customWidth="1"/>
    <col min="11" max="11" width="10.1796875" customWidth="1"/>
  </cols>
  <sheetData>
    <row r="1" spans="1:17" ht="20" customHeight="1">
      <c r="A1" s="14" t="s">
        <v>0</v>
      </c>
      <c r="B1" s="14" t="s">
        <v>47</v>
      </c>
      <c r="C1" s="14" t="s">
        <v>48</v>
      </c>
      <c r="D1" s="14" t="s">
        <v>49</v>
      </c>
      <c r="E1" s="14" t="s">
        <v>50</v>
      </c>
      <c r="G1" s="14" t="s">
        <v>177</v>
      </c>
      <c r="H1" s="14" t="s">
        <v>178</v>
      </c>
      <c r="I1" s="14" t="s">
        <v>179</v>
      </c>
      <c r="J1" s="14" t="s">
        <v>180</v>
      </c>
      <c r="K1" s="14" t="s">
        <v>181</v>
      </c>
      <c r="M1" s="14" t="s">
        <v>29</v>
      </c>
      <c r="N1" s="14" t="s">
        <v>59</v>
      </c>
      <c r="O1" s="14" t="s">
        <v>60</v>
      </c>
      <c r="P1" s="14" t="s">
        <v>61</v>
      </c>
      <c r="Q1" s="14" t="s">
        <v>62</v>
      </c>
    </row>
    <row r="2" spans="1:17" ht="20" customHeight="1">
      <c r="A2" s="20" t="s">
        <v>172</v>
      </c>
      <c r="B2" s="20">
        <v>22000</v>
      </c>
      <c r="C2" s="20">
        <v>23000</v>
      </c>
      <c r="D2" s="20">
        <v>24000</v>
      </c>
      <c r="E2" s="20">
        <v>25000</v>
      </c>
      <c r="G2" s="20" t="s">
        <v>182</v>
      </c>
      <c r="H2" s="20">
        <v>65</v>
      </c>
      <c r="I2" s="20">
        <v>70</v>
      </c>
      <c r="J2" s="20">
        <v>68</v>
      </c>
      <c r="K2" s="20">
        <v>75</v>
      </c>
      <c r="M2" s="20" t="s">
        <v>39</v>
      </c>
      <c r="N2" s="20">
        <v>150000</v>
      </c>
      <c r="O2" s="20">
        <v>160000</v>
      </c>
      <c r="P2" s="20">
        <v>170000</v>
      </c>
      <c r="Q2" s="20">
        <v>180000</v>
      </c>
    </row>
    <row r="3" spans="1:17" ht="20" customHeight="1">
      <c r="A3" s="20" t="s">
        <v>173</v>
      </c>
      <c r="B3" s="20">
        <v>28000</v>
      </c>
      <c r="C3" s="20">
        <v>29000</v>
      </c>
      <c r="D3" s="20">
        <v>30000</v>
      </c>
      <c r="E3" s="20">
        <v>31000</v>
      </c>
      <c r="G3" s="20" t="s">
        <v>183</v>
      </c>
      <c r="H3" s="20">
        <v>78</v>
      </c>
      <c r="I3" s="20">
        <v>82</v>
      </c>
      <c r="J3" s="20">
        <v>80</v>
      </c>
      <c r="K3" s="20">
        <v>85</v>
      </c>
      <c r="M3" s="20" t="s">
        <v>33</v>
      </c>
      <c r="N3" s="20">
        <v>120000</v>
      </c>
      <c r="O3" s="20">
        <v>130000</v>
      </c>
      <c r="P3" s="20">
        <v>140000</v>
      </c>
      <c r="Q3" s="20">
        <v>150000</v>
      </c>
    </row>
    <row r="4" spans="1:17" ht="20" customHeight="1">
      <c r="A4" s="20" t="s">
        <v>174</v>
      </c>
      <c r="B4" s="20">
        <v>26000</v>
      </c>
      <c r="C4" s="20">
        <v>27000</v>
      </c>
      <c r="D4" s="20">
        <v>28000</v>
      </c>
      <c r="E4" s="20">
        <v>29000</v>
      </c>
      <c r="G4" s="20" t="s">
        <v>184</v>
      </c>
      <c r="H4" s="20">
        <v>72</v>
      </c>
      <c r="I4" s="20">
        <v>75</v>
      </c>
      <c r="J4" s="20">
        <v>74</v>
      </c>
      <c r="K4" s="20">
        <v>78</v>
      </c>
      <c r="M4" s="20" t="s">
        <v>189</v>
      </c>
      <c r="N4" s="20">
        <v>90000</v>
      </c>
      <c r="O4" s="20">
        <v>95000</v>
      </c>
      <c r="P4" s="20">
        <v>100000</v>
      </c>
      <c r="Q4" s="20">
        <v>105000</v>
      </c>
    </row>
    <row r="5" spans="1:17" ht="20" customHeight="1">
      <c r="A5" s="20" t="s">
        <v>175</v>
      </c>
      <c r="B5" s="20">
        <v>32000</v>
      </c>
      <c r="C5" s="20">
        <v>33000</v>
      </c>
      <c r="D5" s="20">
        <v>34000</v>
      </c>
      <c r="E5" s="20">
        <v>35000</v>
      </c>
      <c r="G5" s="20" t="s">
        <v>185</v>
      </c>
      <c r="H5" s="20">
        <v>88</v>
      </c>
      <c r="I5" s="20">
        <v>90</v>
      </c>
      <c r="J5" s="20">
        <v>92</v>
      </c>
      <c r="K5" s="20">
        <v>94</v>
      </c>
      <c r="M5" s="20" t="s">
        <v>121</v>
      </c>
      <c r="N5" s="20">
        <v>70000</v>
      </c>
      <c r="O5" s="20">
        <v>75000</v>
      </c>
      <c r="P5" s="20">
        <v>80000</v>
      </c>
      <c r="Q5" s="20">
        <v>85000</v>
      </c>
    </row>
    <row r="6" spans="1:17" ht="20" customHeight="1">
      <c r="A6" s="20" t="s">
        <v>176</v>
      </c>
      <c r="B6" s="20">
        <v>36000</v>
      </c>
      <c r="C6" s="20">
        <v>37000</v>
      </c>
      <c r="D6" s="20">
        <v>38000</v>
      </c>
      <c r="E6" s="20">
        <v>39000</v>
      </c>
      <c r="G6" s="20" t="s">
        <v>186</v>
      </c>
      <c r="H6" s="20">
        <v>60</v>
      </c>
      <c r="I6" s="20">
        <v>65</v>
      </c>
      <c r="J6" s="20">
        <v>63</v>
      </c>
      <c r="K6" s="20">
        <v>68</v>
      </c>
      <c r="M6" s="20" t="s">
        <v>85</v>
      </c>
      <c r="N6" s="20">
        <v>30000</v>
      </c>
      <c r="O6" s="20">
        <v>32000</v>
      </c>
      <c r="P6" s="20">
        <v>34000</v>
      </c>
      <c r="Q6" s="20">
        <v>36000</v>
      </c>
    </row>
    <row r="8" spans="1:17" ht="20" customHeight="1">
      <c r="B8" s="9" t="s">
        <v>0</v>
      </c>
      <c r="C8" s="9" t="s">
        <v>46</v>
      </c>
      <c r="D8" s="9" t="s">
        <v>3</v>
      </c>
      <c r="H8" s="9" t="s">
        <v>177</v>
      </c>
      <c r="I8" s="9" t="s">
        <v>187</v>
      </c>
      <c r="J8" s="9" t="s">
        <v>188</v>
      </c>
      <c r="N8" s="9" t="s">
        <v>29</v>
      </c>
      <c r="O8" s="9" t="s">
        <v>58</v>
      </c>
      <c r="P8" s="9" t="s">
        <v>26</v>
      </c>
    </row>
    <row r="9" spans="1:17" ht="20" customHeight="1">
      <c r="B9" s="7" t="s">
        <v>173</v>
      </c>
      <c r="C9" s="7" t="s">
        <v>48</v>
      </c>
      <c r="D9" s="7">
        <f>INDEX($B$2:$E$6,MATCH(B9,$A$2:$A$6,0),MATCH(C9,$B$1:$E$1,0))</f>
        <v>29000</v>
      </c>
      <c r="H9" s="7" t="s">
        <v>184</v>
      </c>
      <c r="I9" s="7" t="s">
        <v>179</v>
      </c>
      <c r="J9" s="7">
        <f>INDEX($H$2:$K$6,MATCH(H9,$G$2:$G$6,0),MATCH(I9,$H$1:$K$1,0))</f>
        <v>75</v>
      </c>
      <c r="N9" s="7" t="s">
        <v>33</v>
      </c>
      <c r="O9" s="7" t="s">
        <v>61</v>
      </c>
      <c r="P9" s="7">
        <f>INDEX($N$2:$Q$6,MATCH(N9,$M$2:$M$6,0),MATCH(O9,$N$1:$Q$1,0))</f>
        <v>140000</v>
      </c>
    </row>
    <row r="10" spans="1:17" ht="20" customHeight="1">
      <c r="B10" s="7" t="s">
        <v>176</v>
      </c>
      <c r="C10" s="7" t="s">
        <v>49</v>
      </c>
      <c r="D10" s="7">
        <f t="shared" ref="D10:D13" si="0">INDEX($B$2:$E$6,MATCH(B10,$A$2:$A$6,0),MATCH(C10,$B$1:$E$1,0))</f>
        <v>38000</v>
      </c>
      <c r="H10" s="7" t="s">
        <v>186</v>
      </c>
      <c r="I10" s="7" t="s">
        <v>181</v>
      </c>
      <c r="J10" s="7">
        <f t="shared" ref="J10:J13" si="1">INDEX($H$2:$K$6,MATCH(H10,$G$2:$G$6,0),MATCH(I10,$H$1:$K$1,0))</f>
        <v>68</v>
      </c>
      <c r="N10" s="7" t="s">
        <v>39</v>
      </c>
      <c r="O10" s="7" t="s">
        <v>60</v>
      </c>
      <c r="P10" s="7">
        <f t="shared" ref="P10:P13" si="2">INDEX($N$2:$Q$6,MATCH(N10,$M$2:$M$6,0),MATCH(O10,$N$1:$Q$1,0))</f>
        <v>160000</v>
      </c>
    </row>
    <row r="11" spans="1:17" ht="20" customHeight="1">
      <c r="B11" s="7" t="s">
        <v>172</v>
      </c>
      <c r="C11" s="7" t="s">
        <v>50</v>
      </c>
      <c r="D11" s="7">
        <f t="shared" si="0"/>
        <v>25000</v>
      </c>
      <c r="H11" s="7" t="s">
        <v>182</v>
      </c>
      <c r="I11" s="7" t="s">
        <v>180</v>
      </c>
      <c r="J11" s="7">
        <f t="shared" si="1"/>
        <v>68</v>
      </c>
      <c r="N11" s="7" t="s">
        <v>85</v>
      </c>
      <c r="O11" s="7" t="s">
        <v>62</v>
      </c>
      <c r="P11" s="7">
        <f t="shared" si="2"/>
        <v>36000</v>
      </c>
    </row>
    <row r="12" spans="1:17" ht="20" customHeight="1">
      <c r="B12" s="7" t="s">
        <v>175</v>
      </c>
      <c r="C12" s="7" t="s">
        <v>47</v>
      </c>
      <c r="D12" s="7">
        <f t="shared" si="0"/>
        <v>32000</v>
      </c>
      <c r="H12" s="7" t="s">
        <v>185</v>
      </c>
      <c r="I12" s="7" t="s">
        <v>178</v>
      </c>
      <c r="J12" s="7">
        <f t="shared" si="1"/>
        <v>88</v>
      </c>
      <c r="N12" s="7" t="s">
        <v>121</v>
      </c>
      <c r="O12" s="7" t="s">
        <v>59</v>
      </c>
      <c r="P12" s="7">
        <f t="shared" si="2"/>
        <v>70000</v>
      </c>
    </row>
    <row r="13" spans="1:17" ht="20" customHeight="1">
      <c r="B13" s="7" t="s">
        <v>174</v>
      </c>
      <c r="C13" s="7" t="s">
        <v>50</v>
      </c>
      <c r="D13" s="7">
        <f t="shared" si="0"/>
        <v>29000</v>
      </c>
      <c r="H13" s="7" t="s">
        <v>183</v>
      </c>
      <c r="I13" s="7" t="s">
        <v>181</v>
      </c>
      <c r="J13" s="7">
        <f t="shared" si="1"/>
        <v>85</v>
      </c>
      <c r="N13" s="7" t="s">
        <v>189</v>
      </c>
      <c r="O13" s="7" t="s">
        <v>61</v>
      </c>
      <c r="P13" s="7">
        <f t="shared" si="2"/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VLOOKUP</vt:lpstr>
      <vt:lpstr>VLOOKUP PRACTICE</vt:lpstr>
      <vt:lpstr>HLOOKUP</vt:lpstr>
      <vt:lpstr>HLOOKUP PRACTICE</vt:lpstr>
      <vt:lpstr>XLOOKUP</vt:lpstr>
      <vt:lpstr>XLOOKUP PRACTICE</vt:lpstr>
      <vt:lpstr>INDEX+MATCH</vt:lpstr>
      <vt:lpstr>I + M PRACTICE</vt:lpstr>
      <vt:lpstr>2D INDEX+MATCH</vt:lpstr>
      <vt:lpstr>2D I+M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2025-12-14T08:42:44Z</dcterms:created>
  <dcterms:modified xsi:type="dcterms:W3CDTF">2025-12-14T13:03:39Z</dcterms:modified>
</cp:coreProperties>
</file>